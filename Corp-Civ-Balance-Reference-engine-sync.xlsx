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Resources and Note" sheetId="1" r:id="rId1"/>
    <sheet name="Starting stat for HQ" sheetId="2" r:id="rId2"/>
    <sheet name="Office Sites Growth &amp; Options" sheetId="3" r:id="rId3"/>
    <sheet name="Structure" sheetId="4" r:id="rId4"/>
    <sheet name="Structure Cost and passive rate" sheetId="5" r:id="rId5"/>
    <sheet name="Research" sheetId="6" r:id="rId6"/>
    <sheet name="Research Cost" sheetId="7" r:id="rId7"/>
    <sheet name="Recruitment" sheetId="8" r:id="rId8"/>
    <sheet name="Branch &amp; Contracts" sheetId="9" r:id="rId9"/>
    <sheet name="Job hub" sheetId="10" r:id="rId10"/>
    <sheet name="Net Worth" sheetId="11" r:id="rId11"/>
    <sheet name="Phase A Placeholders (engine)" sheetId="12" r:id="rId12"/>
    <sheet name="Structure Build Times (engine)" sheetId="13" r:id="rId13"/>
    <sheet name="Structure Cost (engine copy)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5" formatCode="[h]:mm:ss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 rightToLeft="0"/>
  </sheetViews>
  <sheetData>
    <row r="1">
      <c r="A1" t="str">
        <v>Corp Civ Idle — Balance Reference</v>
      </c>
    </row>
    <row r="2">
      <c r="A2" t="str">
        <v>Generated from game data (CONstants.ts, mapWorld.ts)</v>
      </c>
    </row>
    <row r="3">
      <c r="A3" t="str">
        <v>Cost formula: next level pays base × scale^currentLevel (each resource, rounded up)</v>
      </c>
    </row>
    <row r="5">
      <c r="A5" t="str">
        <v>Resource ID</v>
      </c>
      <c r="B5" t="str">
        <v>UI Label</v>
      </c>
      <c r="C5" t="str">
        <v>Role</v>
      </c>
    </row>
    <row r="6">
      <c r="A6" t="str">
        <v>T1</v>
      </c>
    </row>
    <row r="7">
      <c r="A7" t="str">
        <v>Cash</v>
      </c>
      <c r="B7" t="str">
        <v>$</v>
      </c>
      <c r="C7" t="str">
        <v>Primary currency; passive $/hr from rates</v>
      </c>
    </row>
    <row r="8">
      <c r="A8" t="str">
        <v>Supply</v>
      </c>
      <c r="B8" t="str">
        <v>SUP</v>
      </c>
      <c r="C8" t="str">
        <v>Primary currency; passive $/hr from rates</v>
      </c>
    </row>
    <row r="10">
      <c r="A10" t="str">
        <v>T2</v>
      </c>
    </row>
    <row r="11">
      <c r="A11" t="str">
        <v>Connection (Network)</v>
      </c>
      <c r="B11" t="str">
        <v>CON (NET)</v>
      </c>
      <c r="C11" t="str">
        <v>Bids, research, recruitment; passive +/hr</v>
      </c>
    </row>
    <row r="12">
      <c r="A12" t="str">
        <v>Mood</v>
      </c>
      <c r="B12" t="str">
        <v>MD</v>
      </c>
      <c r="C12" t="str">
        <v>another resources for getting CONtractors/employee to work</v>
      </c>
    </row>
    <row r="14">
      <c r="A14" t="str">
        <v>T3</v>
      </c>
    </row>
    <row r="15">
      <c r="A15" t="str">
        <v>reputation</v>
      </c>
      <c r="B15" t="str">
        <v>REP</v>
      </c>
      <c r="C15" t="str">
        <v>Structures, research, CONtracts; passive +/hr</v>
      </c>
    </row>
    <row r="16">
      <c r="A16" t="str">
        <v>govReputation</v>
      </c>
      <c r="B16" t="str">
        <v>GREP</v>
      </c>
      <c r="C16" t="str">
        <v>Late-game gov track; passive +/hr</v>
      </c>
    </row>
    <row r="23">
      <c r="A23" t="str">
        <v>Note:</v>
      </c>
    </row>
    <row r="24">
      <c r="A24" t="str">
        <v>Gameplay loop</v>
      </c>
    </row>
    <row r="25">
      <c r="A25" t="str">
        <v>1. spend resources and wait for upgrade/production</v>
      </c>
    </row>
    <row r="26">
      <c r="A26" t="str">
        <v>2. while waiting, plan for your next upgrade and production</v>
      </c>
    </row>
    <row r="27">
      <c r="A27" t="str">
        <v>3. lack of resources, actively finding wait to minimize down time, by doing activity or increase passive income in the long run</v>
      </c>
    </row>
    <row r="28">
      <c r="A28" t="str">
        <v>4. obtain resources, calculate time you need, back to 1</v>
      </c>
    </row>
    <row r="31">
      <c r="A31" t="str">
        <v>Road map</v>
      </c>
    </row>
  </sheetData>
  <pageMargins left="0.7" right="0.7" top="0.75" bottom="0.75" header="0.3" footer="0.3"/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sheetData>
    <row r="1">
      <c r="A1" t="str">
        <v>starting HQ/branch</v>
      </c>
      <c r="B1" t="str">
        <v>amount to start with</v>
      </c>
    </row>
    <row r="2">
      <c r="A2" t="str">
        <v>Cash</v>
      </c>
      <c r="B2">
        <v>5000</v>
      </c>
    </row>
    <row r="3">
      <c r="A3" t="str">
        <v>Supply</v>
      </c>
      <c r="B3">
        <v>200</v>
      </c>
    </row>
    <row r="4">
      <c r="A4" t="str">
        <v>Connection</v>
      </c>
      <c r="B4">
        <v>200</v>
      </c>
    </row>
    <row r="5">
      <c r="A5" t="str">
        <v>Mood</v>
      </c>
      <c r="B5">
        <v>100</v>
      </c>
    </row>
    <row r="7">
      <c r="A7" t="str">
        <v>HQ related</v>
      </c>
    </row>
    <row r="8">
      <c r="A8" t="str">
        <v>office space</v>
      </c>
      <c r="B8">
        <v>20</v>
      </c>
    </row>
    <row r="9">
      <c r="A9" t="str">
        <v>power</v>
      </c>
      <c r="B9">
        <v>30</v>
      </c>
    </row>
    <row r="11">
      <c r="A11" t="str">
        <v>Structure</v>
      </c>
      <c r="B11" t="str">
        <v>Level</v>
      </c>
    </row>
    <row r="12">
      <c r="A12" t="str">
        <v>Office desk</v>
      </c>
      <c r="B12">
        <v>1</v>
      </c>
    </row>
    <row r="13">
      <c r="A13" t="str">
        <v>Bank account</v>
      </c>
      <c r="B13">
        <v>1</v>
      </c>
    </row>
    <row r="14">
      <c r="A14" t="str">
        <v>Office supply</v>
      </c>
      <c r="B14">
        <v>1</v>
      </c>
    </row>
    <row r="15">
      <c r="A15" t="str">
        <v>Storage Room</v>
      </c>
      <c r="B15">
        <v>1</v>
      </c>
    </row>
  </sheetData>
  <pageMargins left="0.7" right="0.7" top="0.75" bottom="0.75" header="0.3" footer="0.3"/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sheetData>
    <row r="1">
      <c r="A1" t="str">
        <v>Concept</v>
      </c>
      <c r="B1" t="str">
        <v>Starting Value</v>
      </c>
      <c r="C1" t="str">
        <v>Notes</v>
      </c>
      <c r="E1" t="str">
        <v>starting HQ/branch</v>
      </c>
      <c r="F1" t="str">
        <v>amount to start with</v>
      </c>
    </row>
    <row r="2">
      <c r="A2" t="str">
        <v>Base power per office</v>
      </c>
      <c r="B2">
        <v>30</v>
      </c>
      <c r="C2" t="str">
        <v>HQ and branch each start here</v>
      </c>
      <c r="E2" t="str">
        <v>Cash</v>
      </c>
      <c r="F2">
        <v>5000</v>
      </c>
    </row>
    <row r="3">
      <c r="A3" t="str">
        <v>Base office space</v>
      </c>
      <c r="B3" t="str">
        <v>Depends on location</v>
      </c>
      <c r="C3" t="str">
        <v>HQ starts at 30, branch depends on site purchase</v>
      </c>
      <c r="E3" t="str">
        <v>Supply</v>
      </c>
      <c r="F3">
        <v>200</v>
      </c>
    </row>
    <row r="4">
      <c r="A4" t="str">
        <v>Electricity</v>
      </c>
      <c r="B4" t="str">
        <v>Depends on location</v>
      </c>
      <c r="C4" t="str">
        <v>HQ starts at 30, branch depends on site purchase</v>
      </c>
      <c r="E4" t="str">
        <v>Connection</v>
      </c>
      <c r="F4">
        <v>200</v>
      </c>
    </row>
    <row r="5">
      <c r="A5" t="str">
        <v>Structure build time (sec)</v>
      </c>
      <c r="B5" t="str">
        <v>depends on structure</v>
      </c>
      <c r="C5" t="str">
        <v>see structure for detail</v>
      </c>
      <c r="E5" t="str">
        <v>Mood</v>
      </c>
      <c r="F5">
        <v>100</v>
      </c>
    </row>
    <row r="6">
      <c r="A6" t="str">
        <v>Sell structure level</v>
      </c>
      <c r="C6" t="str">
        <v>Full power refund if level cost included power - 50% other resources refund</v>
      </c>
    </row>
    <row r="7">
      <c r="A7" t="str">
        <v>Recruit timer (sec per hire)</v>
      </c>
      <c r="B7" t="str">
        <v>depends on units</v>
      </c>
      <c r="C7" t="str">
        <v>see units for detail</v>
      </c>
      <c r="E7" t="str">
        <v>HQ related</v>
      </c>
    </row>
    <row r="8">
      <c r="A8" t="str">
        <v>Max recruit batch</v>
      </c>
      <c r="B8">
        <v>100</v>
      </c>
      <c r="C8" t="str">
        <v>Per click per type</v>
      </c>
      <c r="E8" t="str">
        <v>office space</v>
      </c>
      <c r="F8">
        <v>20</v>
      </c>
    </row>
    <row r="9">
      <c r="E9" t="str">
        <v>power</v>
      </c>
      <c r="F9">
        <v>30</v>
      </c>
    </row>
    <row r="11">
      <c r="E11" t="str">
        <v>Structure</v>
      </c>
      <c r="F11" t="str">
        <v>Level</v>
      </c>
    </row>
    <row r="12">
      <c r="E12" t="str">
        <v>Office desk</v>
      </c>
      <c r="F12">
        <v>1</v>
      </c>
    </row>
    <row r="13">
      <c r="E13" t="str">
        <v>Bank account</v>
      </c>
      <c r="F13">
        <v>1</v>
      </c>
    </row>
    <row r="14">
      <c r="E14" t="str">
        <v>Office supply</v>
      </c>
      <c r="F14">
        <v>1</v>
      </c>
    </row>
    <row r="15">
      <c r="E15" t="str">
        <v>Storage Room</v>
      </c>
      <c r="F15">
        <v>1</v>
      </c>
    </row>
  </sheetData>
  <pageMargins left="0.7" right="0.7" top="0.75" bottom="0.75" header="0.3" footer="0.3"/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workbookViewId="0" rightToLeft="0"/>
  </sheetViews>
  <sheetData>
    <row r="1">
      <c r="B1" t="str">
        <v>Structure Type</v>
      </c>
    </row>
    <row r="2">
      <c r="B2" t="str">
        <v xml:space="preserve">Resouces holder(RH) </v>
      </c>
    </row>
    <row r="3">
      <c r="B3" t="str">
        <v>Resources generator (RG)</v>
      </c>
    </row>
    <row r="4">
      <c r="B4" t="str">
        <v>Special (S)</v>
      </c>
    </row>
    <row r="5">
      <c r="B5" t="str">
        <v>Unit recruitment/improvement (UNIT)</v>
      </c>
    </row>
    <row r="6">
      <c r="B6" t="str">
        <v>Player interaction (PINT)</v>
      </c>
    </row>
    <row r="7">
      <c r="B7" t="str">
        <v>Base Improvement (BIM)</v>
      </c>
    </row>
    <row r="11">
      <c r="B11" t="str">
        <v>Structure</v>
      </c>
      <c r="C11" t="str">
        <v>Type</v>
      </c>
      <c r="D11" t="str">
        <v>Max Level</v>
      </c>
      <c r="E11" t="str">
        <v>Note</v>
      </c>
      <c r="F11" t="str">
        <v>Research required</v>
      </c>
      <c r="H11" t="str">
        <v>Start off?</v>
      </c>
    </row>
    <row r="12">
      <c r="A12">
        <v>1</v>
      </c>
      <c r="B12" t="str">
        <v>Office desk</v>
      </c>
      <c r="C12" t="str">
        <v>Resources generator (RG)</v>
      </c>
      <c r="D12">
        <v>20</v>
      </c>
      <c r="E12" t="str">
        <v>Cash</v>
      </c>
      <c r="F12" t="str">
        <v>N</v>
      </c>
      <c r="H12" t="str">
        <v>Y - level 1</v>
      </c>
    </row>
    <row r="13">
      <c r="A13">
        <f>A12+1</f>
        <v>2</v>
      </c>
      <c r="B13" t="str">
        <v>Bank account</v>
      </c>
      <c r="C13" t="str">
        <v xml:space="preserve">Resouces holder(RH) </v>
      </c>
      <c r="D13">
        <v>20</v>
      </c>
      <c r="E13" t="str">
        <v>Cash</v>
      </c>
      <c r="F13" t="str">
        <v>N</v>
      </c>
      <c r="H13" t="str">
        <v>Y - level 1</v>
      </c>
    </row>
    <row r="14">
      <c r="A14">
        <f>A13+1</f>
        <v>3</v>
      </c>
      <c r="B14" t="str">
        <v>Office supply</v>
      </c>
      <c r="C14" t="str">
        <v>Resources generator (RG)</v>
      </c>
      <c r="D14">
        <v>20</v>
      </c>
      <c r="E14" t="str">
        <v>Supply</v>
      </c>
      <c r="F14" t="str">
        <v>N</v>
      </c>
      <c r="H14" t="str">
        <v>Y - level 1</v>
      </c>
    </row>
    <row r="15">
      <c r="A15">
        <f>A14+1</f>
        <v>4</v>
      </c>
      <c r="B15" t="str">
        <v>Storage Room</v>
      </c>
      <c r="C15" t="str">
        <v xml:space="preserve">Resouces holder(RH) </v>
      </c>
      <c r="D15">
        <v>20</v>
      </c>
      <c r="E15" t="str">
        <v>Supply</v>
      </c>
      <c r="F15" t="str">
        <v>N</v>
      </c>
      <c r="H15" t="str">
        <v>Y - level 1</v>
      </c>
    </row>
    <row r="16">
      <c r="A16">
        <f>A15+1</f>
        <v>5</v>
      </c>
    </row>
    <row r="17">
      <c r="A17">
        <f>A16+1</f>
        <v>6</v>
      </c>
      <c r="B17" t="str">
        <v>Department of B2B</v>
      </c>
      <c r="C17" t="str">
        <v>Resources generator (RG)</v>
      </c>
      <c r="D17">
        <v>20</v>
      </c>
      <c r="E17" t="str">
        <v>CON</v>
      </c>
      <c r="F17" t="str">
        <v>N</v>
      </c>
      <c r="H17" t="str">
        <v>Y - level 1</v>
      </c>
    </row>
    <row r="18">
      <c r="A18">
        <f>A17+1</f>
        <v>7</v>
      </c>
      <c r="B18" t="str">
        <v>Break room</v>
      </c>
      <c r="C18" t="str">
        <v>Resources generator (RG)</v>
      </c>
      <c r="D18">
        <v>20</v>
      </c>
      <c r="E18" t="str">
        <v>Mood</v>
      </c>
      <c r="F18" t="str">
        <v>N</v>
      </c>
      <c r="H18" t="str">
        <v>Y - level 1</v>
      </c>
    </row>
    <row r="19">
      <c r="A19">
        <f>A18+1</f>
        <v>8</v>
      </c>
      <c r="B19" t="str">
        <v>Social Media</v>
      </c>
      <c r="C19" t="str">
        <v xml:space="preserve">Resouces holder(RH) </v>
      </c>
      <c r="D19">
        <v>20</v>
      </c>
      <c r="E19" t="str">
        <v>Con/Mood</v>
      </c>
      <c r="F19" t="str">
        <v>N</v>
      </c>
      <c r="H19" t="str">
        <v>Y - level 1</v>
      </c>
    </row>
    <row r="20">
      <c r="A20">
        <f>A19+1</f>
        <v>9</v>
      </c>
    </row>
    <row r="21">
      <c r="A21">
        <f>A20+1</f>
        <v>10</v>
      </c>
      <c r="B21" t="str">
        <v>Video production studio</v>
      </c>
      <c r="C21" t="str">
        <v>Resources generator (RG)</v>
      </c>
      <c r="D21">
        <v>20</v>
      </c>
      <c r="E21" t="str">
        <v>REP</v>
      </c>
      <c r="F21" t="str">
        <v>Y</v>
      </c>
      <c r="H21" t="str">
        <v>N</v>
      </c>
    </row>
    <row r="22">
      <c r="A22">
        <f>A21+1</f>
        <v>11</v>
      </c>
      <c r="B22" t="str">
        <v>Press Room</v>
      </c>
      <c r="C22" t="str">
        <v>Resources generator (RG)</v>
      </c>
      <c r="D22">
        <v>20</v>
      </c>
      <c r="E22" t="str">
        <v>GREP</v>
      </c>
      <c r="F22" t="str">
        <v>Y</v>
      </c>
      <c r="H22" t="str">
        <v>N</v>
      </c>
    </row>
    <row r="23">
      <c r="A23">
        <f>A22+1</f>
        <v>12</v>
      </c>
      <c r="B23" t="str">
        <v>Company Statue</v>
      </c>
      <c r="C23" t="str">
        <v xml:space="preserve">Resouces holder(RH) </v>
      </c>
      <c r="D23">
        <v>20</v>
      </c>
      <c r="E23" t="str">
        <v>REP/GREP</v>
      </c>
      <c r="F23" t="str">
        <v>Y</v>
      </c>
      <c r="H23" t="str">
        <v>N</v>
      </c>
    </row>
    <row r="24">
      <c r="A24">
        <f>A23+1</f>
        <v>13</v>
      </c>
    </row>
    <row r="25">
      <c r="A25">
        <f>A24+1</f>
        <v>14</v>
      </c>
      <c r="B25" t="str">
        <v>Office Expansion</v>
      </c>
      <c r="C25" t="str">
        <v>Base Improvement (BIM)</v>
      </c>
      <c r="D25" t="str">
        <v>varies on location</v>
      </c>
      <c r="E25" t="str">
        <v>Office space</v>
      </c>
      <c r="F25" t="str">
        <v>N</v>
      </c>
      <c r="H25" t="str">
        <v>Y - level 1</v>
      </c>
    </row>
    <row r="26">
      <c r="A26">
        <f>A25+1</f>
        <v>15</v>
      </c>
      <c r="B26" t="str">
        <v>Department of R&amp;D</v>
      </c>
      <c r="C26" t="str">
        <v>Base Improvement (BIM)</v>
      </c>
      <c r="D26">
        <v>10</v>
      </c>
      <c r="E26" t="str">
        <v>Unlocks Research</v>
      </c>
      <c r="F26" t="str">
        <v>N</v>
      </c>
      <c r="H26" t="str">
        <v>N</v>
      </c>
    </row>
    <row r="27">
      <c r="A27">
        <f>A26+1</f>
        <v>16</v>
      </c>
      <c r="B27" t="str">
        <v>Power Panel</v>
      </c>
      <c r="C27" t="str">
        <v>Base Improvement (BIM)</v>
      </c>
      <c r="D27">
        <v>20</v>
      </c>
      <c r="F27" t="str">
        <v>N</v>
      </c>
      <c r="H27" t="str">
        <v>Y - level 1</v>
      </c>
    </row>
    <row r="28">
      <c r="A28">
        <f>A27+1</f>
        <v>17</v>
      </c>
      <c r="B28" t="str">
        <v>Power Generator</v>
      </c>
      <c r="C28" t="str">
        <v>Base Improvement (BIM)</v>
      </c>
      <c r="D28">
        <v>20</v>
      </c>
      <c r="F28" t="str">
        <v>Y</v>
      </c>
      <c r="H28" t="str">
        <v>N</v>
      </c>
    </row>
    <row r="29">
      <c r="A29">
        <f>A28+1</f>
        <v>18</v>
      </c>
      <c r="B29" t="str">
        <v>Recruitment Desk (RD)</v>
      </c>
      <c r="C29" t="str">
        <v>Unit recruitment/improvement (UNIT)</v>
      </c>
      <c r="D29">
        <v>10</v>
      </c>
      <c r="E29" t="str">
        <v>Requirement for recruiting</v>
      </c>
      <c r="F29" t="str">
        <v>N</v>
      </c>
      <c r="H29" t="str">
        <v>Y - level 1</v>
      </c>
    </row>
    <row r="30">
      <c r="A30">
        <f>A29+1</f>
        <v>19</v>
      </c>
      <c r="B30" t="str">
        <v>MIT (Management in training) room</v>
      </c>
      <c r="C30" t="str">
        <v>Unit recruitment/improvement (UNIT)</v>
      </c>
      <c r="D30">
        <v>10</v>
      </c>
      <c r="E30" t="str">
        <v>Requirement for recruiting t2 unit</v>
      </c>
      <c r="F30" t="str">
        <v>Y</v>
      </c>
      <c r="H30" t="str">
        <v>N</v>
      </c>
    </row>
    <row r="36">
      <c r="A36" t="str">
        <v>---note---</v>
      </c>
    </row>
    <row r="37">
      <c r="A37" t="str">
        <v>Office Space</v>
      </c>
      <c r="B37" t="str">
        <v>all structure takes 1 space regardless of level</v>
      </c>
    </row>
    <row r="39">
      <c r="A39" t="str">
        <v>---Potential idea---</v>
      </c>
    </row>
    <row r="40">
      <c r="A40" t="str">
        <v>Analyst Wing</v>
      </c>
      <c r="C40">
        <v>20</v>
      </c>
    </row>
    <row r="41">
      <c r="A41" t="str">
        <v>Bid Modeling</v>
      </c>
      <c r="C41">
        <v>30</v>
      </c>
    </row>
    <row r="42">
      <c r="A42" t="str">
        <v>Department of PR</v>
      </c>
      <c r="C42">
        <v>30</v>
      </c>
    </row>
    <row r="43">
      <c r="A43" t="str">
        <v>Government Liaison</v>
      </c>
      <c r="C43">
        <v>30</v>
      </c>
    </row>
    <row r="44">
      <c r="A44" t="str">
        <v>Meeting room</v>
      </c>
      <c r="B44" t="str">
        <v>Resources generator (RG)</v>
      </c>
      <c r="C44">
        <v>10</v>
      </c>
      <c r="D44" t="str">
        <v>Cash boost at t2 rate</v>
      </c>
      <c r="E44" t="str">
        <v>Y</v>
      </c>
      <c r="G44" t="str">
        <v>N</v>
      </c>
    </row>
    <row r="45">
      <c r="A45" t="str">
        <v>Department of Intelligence</v>
      </c>
      <c r="C45">
        <v>10</v>
      </c>
      <c r="D45" t="str">
        <v>Intel gathering, world/local</v>
      </c>
      <c r="E45" t="str">
        <v>Y</v>
      </c>
      <c r="G45" t="str">
        <v>N</v>
      </c>
    </row>
    <row r="47">
      <c r="A47" t="str">
        <v>T2 RG eventually</v>
      </c>
    </row>
  </sheetData>
  <pageMargins left="0.7" right="0.7" top="0.75" bottom="0.75" header="0.3" footer="0.3"/>
  <ignoredErrors>
    <ignoredError numberStoredAsText="1" sqref="A1:H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4:R90"/>
  <sheetViews>
    <sheetView workbookViewId="0" rightToLeft="0"/>
  </sheetViews>
  <sheetData>
    <row r="4">
      <c r="A4" t="str">
        <v>Structure</v>
      </c>
      <c r="B4" t="str">
        <v>Level</v>
      </c>
      <c r="C4" t="str">
        <v>Cost - Time</v>
      </c>
      <c r="D4" t="str">
        <v>Scale</v>
      </c>
      <c r="E4" t="str">
        <v>Cash</v>
      </c>
      <c r="F4" t="str">
        <v>Scale</v>
      </c>
      <c r="G4" t="str">
        <v>SUP</v>
      </c>
      <c r="H4" t="str">
        <v>Scale</v>
      </c>
      <c r="I4" t="str">
        <v>CON</v>
      </c>
      <c r="J4" t="str">
        <v>Scale</v>
      </c>
      <c r="K4" t="str">
        <v>REP</v>
      </c>
      <c r="L4" t="str">
        <v>Scale</v>
      </c>
      <c r="M4" t="str">
        <v>GREP</v>
      </c>
      <c r="N4" t="str">
        <v>Scale</v>
      </c>
      <c r="O4" t="str">
        <v>Electricity</v>
      </c>
      <c r="P4" t="str">
        <v>Scale</v>
      </c>
      <c r="Q4" t="str">
        <v>Generation/Holding /hr</v>
      </c>
      <c r="R4" t="str">
        <v>Scale</v>
      </c>
    </row>
    <row r="5">
      <c r="A5" t="str">
        <v>Office desk</v>
      </c>
      <c r="B5">
        <v>1</v>
      </c>
      <c r="C5">
        <v>0</v>
      </c>
      <c r="D5">
        <v>1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</v>
      </c>
      <c r="Q5">
        <v>200</v>
      </c>
    </row>
    <row r="6">
      <c r="B6">
        <f>B5+1</f>
        <v>2</v>
      </c>
      <c r="C6">
        <v>0.001</v>
      </c>
      <c r="D6">
        <v>1</v>
      </c>
      <c r="E6">
        <f>Q6*Z6</f>
        <v>0</v>
      </c>
      <c r="G6">
        <f>E6*H6</f>
        <v>0</v>
      </c>
      <c r="H6">
        <v>0.5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>ROUNDUP(O5*P6,0)</f>
        <v>6</v>
      </c>
      <c r="P6">
        <v>1.1</v>
      </c>
      <c r="Q6">
        <f>R6*Q5</f>
        <v>250</v>
      </c>
      <c r="R6">
        <v>1.25</v>
      </c>
    </row>
    <row r="7">
      <c r="B7">
        <f>B6+1</f>
        <v>3</v>
      </c>
      <c r="C7">
        <f>C6*(D7)</f>
        <v>0.0011</v>
      </c>
      <c r="D7">
        <v>1.1</v>
      </c>
      <c r="E7">
        <f>Q7*Z7</f>
        <v>0</v>
      </c>
      <c r="G7">
        <f>E7*H7</f>
        <v>0</v>
      </c>
      <c r="H7">
        <v>0.5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>ROUNDUP(O6*P7,0)</f>
        <v>8</v>
      </c>
      <c r="P7">
        <v>1.2</v>
      </c>
      <c r="Q7">
        <f>R7*Q6</f>
        <v>312.5</v>
      </c>
      <c r="R7">
        <v>1.25</v>
      </c>
    </row>
    <row r="8">
      <c r="B8">
        <f>B7+1</f>
        <v>4</v>
      </c>
      <c r="C8">
        <f>C7*(D8)</f>
        <v>0.0012100000000000001</v>
      </c>
      <c r="D8">
        <v>1.1</v>
      </c>
      <c r="E8">
        <f>Q8*Z8</f>
        <v>0</v>
      </c>
      <c r="G8">
        <f>E8*H8</f>
        <v>0</v>
      </c>
      <c r="H8">
        <v>0.5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>ROUNDUP(O7*P8,0)</f>
        <v>10</v>
      </c>
      <c r="P8">
        <v>1.2</v>
      </c>
      <c r="Q8">
        <f>R8*Q7</f>
        <v>390.625</v>
      </c>
      <c r="R8">
        <v>1.25</v>
      </c>
    </row>
    <row r="9">
      <c r="B9">
        <f>B8+1</f>
        <v>5</v>
      </c>
      <c r="C9">
        <f>C8*(D9)</f>
        <v>0.006050000000000001</v>
      </c>
      <c r="D9">
        <v>5</v>
      </c>
      <c r="E9">
        <f>Q9*Z9</f>
        <v>0</v>
      </c>
      <c r="G9">
        <f>E9*H9</f>
        <v>0</v>
      </c>
      <c r="H9">
        <v>0.5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>ROUNDUP(O8*P9,0)</f>
        <v>20</v>
      </c>
      <c r="P9">
        <v>2</v>
      </c>
      <c r="Q9">
        <f>R9*Q8</f>
        <v>781.25</v>
      </c>
      <c r="R9">
        <v>2</v>
      </c>
    </row>
    <row r="10">
      <c r="B10">
        <f>B9+1</f>
        <v>6</v>
      </c>
      <c r="C10">
        <f>C9*(D10)</f>
        <v>0.007260000000000001</v>
      </c>
      <c r="D10">
        <v>1.2</v>
      </c>
      <c r="E10">
        <f>Q10*Z10</f>
        <v>0</v>
      </c>
      <c r="G10">
        <f>E10*H10</f>
        <v>0</v>
      </c>
      <c r="H10">
        <v>0.5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ROUNDUP(O9*P10,0)</f>
        <v>22</v>
      </c>
      <c r="P10">
        <v>1.1</v>
      </c>
      <c r="Q10">
        <f>R10*Q9</f>
        <v>976.5625</v>
      </c>
      <c r="R10">
        <v>1.25</v>
      </c>
    </row>
    <row r="11">
      <c r="B11">
        <f>B10+1</f>
        <v>7</v>
      </c>
      <c r="C11">
        <f>C10*(D11)</f>
        <v>0.008712000000000001</v>
      </c>
      <c r="D11">
        <v>1.2</v>
      </c>
      <c r="E11">
        <f>Q11*Z11</f>
        <v>0</v>
      </c>
      <c r="G11">
        <f>E11*H11</f>
        <v>0</v>
      </c>
      <c r="H11">
        <v>0.5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>ROUNDUP(O10*P11,0)</f>
        <v>25</v>
      </c>
      <c r="P11">
        <v>1.1</v>
      </c>
      <c r="Q11">
        <f>R11*Q10</f>
        <v>1220.703125</v>
      </c>
      <c r="R11">
        <v>1.25</v>
      </c>
    </row>
    <row r="12">
      <c r="B12">
        <f>B11+1</f>
        <v>8</v>
      </c>
      <c r="C12">
        <f>C11*(D12)</f>
        <v>0.0104544</v>
      </c>
      <c r="D12">
        <v>1.2</v>
      </c>
      <c r="E12">
        <f>Q12*Z12</f>
        <v>0</v>
      </c>
      <c r="G12">
        <f>E12*H12</f>
        <v>0</v>
      </c>
      <c r="H12">
        <v>0.5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>ROUNDUP(O11*P12,0)</f>
        <v>28</v>
      </c>
      <c r="P12">
        <v>1.1</v>
      </c>
      <c r="Q12">
        <f>R12*Q11</f>
        <v>1525.87890625</v>
      </c>
      <c r="R12">
        <v>1.25</v>
      </c>
    </row>
    <row r="13">
      <c r="B13">
        <f>B12+1</f>
        <v>9</v>
      </c>
      <c r="C13">
        <f>C12*(D13)</f>
        <v>0.01254528</v>
      </c>
      <c r="D13">
        <v>1.2</v>
      </c>
      <c r="E13">
        <f>Q13*Z13</f>
        <v>0</v>
      </c>
      <c r="G13">
        <f>E13*H13</f>
        <v>0</v>
      </c>
      <c r="H13">
        <v>0.5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>ROUNDUP(O12*P13,0)</f>
        <v>31</v>
      </c>
      <c r="P13">
        <v>1.1</v>
      </c>
      <c r="Q13">
        <f>R13*Q12</f>
        <v>1907.3486328125</v>
      </c>
      <c r="R13">
        <v>1.25</v>
      </c>
    </row>
    <row r="14">
      <c r="B14">
        <f>B13+1</f>
        <v>10</v>
      </c>
      <c r="C14">
        <f>C13*(D14)</f>
        <v>0.05018112</v>
      </c>
      <c r="D14">
        <v>4</v>
      </c>
      <c r="E14">
        <f>Q14*Z14</f>
        <v>0</v>
      </c>
      <c r="G14">
        <f>E14*H14</f>
        <v>0</v>
      </c>
      <c r="H14">
        <v>0.5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>ROUNDUP(O13*P14,0)</f>
        <v>62</v>
      </c>
      <c r="P14">
        <v>2</v>
      </c>
      <c r="Q14">
        <f>R14*Q13</f>
        <v>3814.697265625</v>
      </c>
      <c r="R14">
        <v>2</v>
      </c>
    </row>
    <row r="15">
      <c r="B15">
        <f>B14+1</f>
        <v>11</v>
      </c>
      <c r="C15">
        <f>C14*(D15)</f>
        <v>0.060217344</v>
      </c>
      <c r="D15">
        <v>1.2</v>
      </c>
      <c r="E15">
        <f>Q15*Z15</f>
        <v>0</v>
      </c>
      <c r="G15">
        <f>E15*H15</f>
        <v>0</v>
      </c>
      <c r="H15">
        <v>0.5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f>ROUNDUP(O14*P15,0)</f>
        <v>75</v>
      </c>
      <c r="P15">
        <v>1.2</v>
      </c>
      <c r="Q15">
        <f>R15*Q14</f>
        <v>4577.63671875</v>
      </c>
      <c r="R15">
        <v>1.2</v>
      </c>
    </row>
    <row r="16">
      <c r="B16">
        <f>B15+1</f>
        <v>12</v>
      </c>
      <c r="C16">
        <f>C15*(D16)</f>
        <v>0.07226081279999999</v>
      </c>
      <c r="D16">
        <v>1.2</v>
      </c>
      <c r="E16">
        <f>Q16*Z16</f>
        <v>0</v>
      </c>
      <c r="G16">
        <f>E16*H16</f>
        <v>0</v>
      </c>
      <c r="H16">
        <v>0.5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>ROUNDUP(O15*P16,0)</f>
        <v>83</v>
      </c>
      <c r="P16">
        <v>1.1</v>
      </c>
      <c r="Q16">
        <f>R16*Q15</f>
        <v>5493.1640625</v>
      </c>
      <c r="R16">
        <v>1.2</v>
      </c>
    </row>
    <row r="17">
      <c r="B17">
        <f>B16+1</f>
        <v>13</v>
      </c>
      <c r="C17">
        <f>C16*(D17)</f>
        <v>0.08671297535999999</v>
      </c>
      <c r="D17">
        <v>1.2</v>
      </c>
      <c r="E17">
        <f>Q17*Z17</f>
        <v>0</v>
      </c>
      <c r="G17">
        <f>E17*H17</f>
        <v>0</v>
      </c>
      <c r="H17">
        <v>0.5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>ROUNDUP(O16*P17,0)</f>
        <v>92</v>
      </c>
      <c r="P17">
        <v>1.1</v>
      </c>
      <c r="Q17">
        <f>R17*Q16</f>
        <v>6591.796875</v>
      </c>
      <c r="R17">
        <v>1.2</v>
      </c>
    </row>
    <row r="18">
      <c r="B18">
        <f>B17+1</f>
        <v>14</v>
      </c>
      <c r="C18">
        <f>C17*(D18)</f>
        <v>0.10405557043199998</v>
      </c>
      <c r="D18">
        <v>1.2</v>
      </c>
      <c r="E18">
        <f>Q18*Z18</f>
        <v>0</v>
      </c>
      <c r="G18">
        <f>E18*H18</f>
        <v>0</v>
      </c>
      <c r="H18">
        <v>0.5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>ROUNDUP(O17*P18,0)</f>
        <v>102</v>
      </c>
      <c r="P18">
        <v>1.1</v>
      </c>
      <c r="Q18">
        <f>R18*Q17</f>
        <v>7910.15625</v>
      </c>
      <c r="R18">
        <v>1.2</v>
      </c>
    </row>
    <row r="19">
      <c r="B19">
        <f>B18+1</f>
        <v>15</v>
      </c>
      <c r="C19">
        <f>C18*(D19)</f>
        <v>0.26013892607999994</v>
      </c>
      <c r="D19">
        <v>2.5</v>
      </c>
      <c r="E19">
        <f>Q19*Z19</f>
        <v>0</v>
      </c>
      <c r="G19">
        <f>E19*H19</f>
        <v>0</v>
      </c>
      <c r="H19">
        <v>0.5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>ROUNDUP(O18*P19,0)</f>
        <v>204</v>
      </c>
      <c r="P19">
        <v>2</v>
      </c>
      <c r="Q19">
        <f>R19*Q18</f>
        <v>15820.3125</v>
      </c>
      <c r="R19">
        <v>2</v>
      </c>
    </row>
    <row r="20">
      <c r="B20">
        <f>B19+1</f>
        <v>16</v>
      </c>
      <c r="C20">
        <f>C19*(D20)</f>
        <v>0.31216671129599993</v>
      </c>
      <c r="D20">
        <v>1.2</v>
      </c>
      <c r="E20">
        <f>Q20*Z20</f>
        <v>0</v>
      </c>
      <c r="G20">
        <f>E20*H20</f>
        <v>0</v>
      </c>
      <c r="H20">
        <v>0.5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>ROUNDUP(O19*P20,0)</f>
        <v>225</v>
      </c>
      <c r="P20">
        <v>1.1</v>
      </c>
      <c r="Q20">
        <f>R20*Q19</f>
        <v>17402.34375</v>
      </c>
      <c r="R20">
        <v>1.1</v>
      </c>
    </row>
    <row r="21">
      <c r="B21">
        <f>B20+1</f>
        <v>17</v>
      </c>
      <c r="C21">
        <f>C20*(D21)</f>
        <v>0.37460005355519993</v>
      </c>
      <c r="D21">
        <v>1.2</v>
      </c>
      <c r="E21">
        <f>Q21*Z21</f>
        <v>0</v>
      </c>
      <c r="G21">
        <f>E21*H21</f>
        <v>0</v>
      </c>
      <c r="H21">
        <v>0.5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ROUNDUP(O20*P21,0)</f>
        <v>248</v>
      </c>
      <c r="P21">
        <v>1.1</v>
      </c>
      <c r="Q21">
        <f>R21*Q20</f>
        <v>19142.578125</v>
      </c>
      <c r="R21">
        <v>1.1</v>
      </c>
    </row>
    <row r="22">
      <c r="B22">
        <f>B21+1</f>
        <v>18</v>
      </c>
      <c r="C22">
        <f>C21*(D22)</f>
        <v>0.4495200642662399</v>
      </c>
      <c r="D22">
        <v>1.2</v>
      </c>
      <c r="E22">
        <f>Q22*Z22</f>
        <v>0</v>
      </c>
      <c r="G22">
        <f>E22*H22</f>
        <v>0</v>
      </c>
      <c r="H22">
        <v>0.5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>ROUNDUP(O21*P22,0)</f>
        <v>273</v>
      </c>
      <c r="P22">
        <v>1.1</v>
      </c>
      <c r="Q22">
        <f>R22*Q21</f>
        <v>21056.8359375</v>
      </c>
      <c r="R22">
        <v>1.1</v>
      </c>
    </row>
    <row r="23">
      <c r="B23">
        <f>B22+1</f>
        <v>19</v>
      </c>
      <c r="C23">
        <f>C22*(D23)</f>
        <v>0.5394240771194879</v>
      </c>
      <c r="D23">
        <v>1.2</v>
      </c>
      <c r="E23">
        <f>Q23*Z23</f>
        <v>0</v>
      </c>
      <c r="G23">
        <f>E23*H23</f>
        <v>0</v>
      </c>
      <c r="H23">
        <v>0.5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>ROUNDUP(O22*P23,0)</f>
        <v>301</v>
      </c>
      <c r="P23">
        <v>1.1</v>
      </c>
      <c r="Q23">
        <f>R23*Q22</f>
        <v>23162.519531250004</v>
      </c>
      <c r="R23">
        <v>1.1</v>
      </c>
    </row>
    <row r="24">
      <c r="B24">
        <f>B23+1</f>
        <v>20</v>
      </c>
      <c r="C24">
        <f>C23*(D24)</f>
        <v>1.0788481542389758</v>
      </c>
      <c r="D24">
        <v>2</v>
      </c>
      <c r="E24">
        <f>Q24*Z24</f>
        <v>0</v>
      </c>
      <c r="G24">
        <f>E24*H24</f>
        <v>0</v>
      </c>
      <c r="H24">
        <v>0.5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>ROUNDUP(O23*P24,0)</f>
        <v>602</v>
      </c>
      <c r="P24">
        <v>2</v>
      </c>
      <c r="Q24">
        <f>R24*Q23</f>
        <v>25478.771484375007</v>
      </c>
      <c r="R24">
        <v>1.1</v>
      </c>
    </row>
    <row r="26">
      <c r="A26" t="str">
        <v>Bank account</v>
      </c>
      <c r="B26" t="str">
        <v>Level</v>
      </c>
      <c r="C26" t="str">
        <v>Cost - Time</v>
      </c>
      <c r="D26" t="str">
        <v>Scale</v>
      </c>
      <c r="E26" t="str">
        <v>Cash</v>
      </c>
      <c r="F26" t="str">
        <v>Scale</v>
      </c>
      <c r="G26" t="str">
        <v>SUP</v>
      </c>
      <c r="H26" t="str">
        <v>Scale</v>
      </c>
      <c r="I26" t="str">
        <v>CON</v>
      </c>
      <c r="J26" t="str">
        <v>Scale</v>
      </c>
      <c r="K26" t="str">
        <v>REP</v>
      </c>
      <c r="L26" t="str">
        <v>Scale</v>
      </c>
      <c r="M26" t="str">
        <v>GREP</v>
      </c>
      <c r="N26" t="str">
        <v>Scale</v>
      </c>
      <c r="O26" t="str">
        <v>Electricity</v>
      </c>
      <c r="P26" t="str">
        <v>Scale</v>
      </c>
      <c r="Q26" t="str">
        <v>Amount holding ($)</v>
      </c>
      <c r="R26" t="str">
        <v>Scale</v>
      </c>
    </row>
    <row r="27">
      <c r="B27">
        <v>1</v>
      </c>
      <c r="C27">
        <v>0</v>
      </c>
      <c r="D27">
        <v>0</v>
      </c>
      <c r="E27">
        <v>0</v>
      </c>
      <c r="F27">
        <v>0</v>
      </c>
      <c r="G27">
        <f>E27*H27</f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50000</v>
      </c>
    </row>
    <row r="28">
      <c r="B28">
        <f>B27+1</f>
        <v>2</v>
      </c>
      <c r="C28">
        <v>0.001</v>
      </c>
      <c r="E28">
        <v>100</v>
      </c>
      <c r="G28">
        <f>E28*H28</f>
        <v>50</v>
      </c>
      <c r="H28">
        <v>0.5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f>R28*Q27</f>
        <v>62500</v>
      </c>
      <c r="R28">
        <v>1.25</v>
      </c>
    </row>
    <row r="29">
      <c r="B29">
        <f>B28+1</f>
        <v>3</v>
      </c>
      <c r="C29">
        <f>C28*(D29)</f>
        <v>0.002</v>
      </c>
      <c r="D29">
        <v>2</v>
      </c>
      <c r="E29">
        <f>E28*(F29)</f>
        <v>160</v>
      </c>
      <c r="F29">
        <f>D29*0.3+1</f>
        <v>1.6</v>
      </c>
      <c r="G29">
        <f>E29*H29</f>
        <v>80</v>
      </c>
      <c r="H29">
        <v>0.5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f>R29*Q28</f>
        <v>78125</v>
      </c>
      <c r="R29">
        <v>1.25</v>
      </c>
    </row>
    <row r="30">
      <c r="B30">
        <f>B29+1</f>
        <v>4</v>
      </c>
      <c r="C30">
        <f>C29*(D30)</f>
        <v>0.004</v>
      </c>
      <c r="D30">
        <v>2</v>
      </c>
      <c r="E30">
        <f>E29*(F30)</f>
        <v>256</v>
      </c>
      <c r="F30">
        <f>D30*0.3+1</f>
        <v>1.6</v>
      </c>
      <c r="G30">
        <f>E30*H30</f>
        <v>128</v>
      </c>
      <c r="H30">
        <v>0.5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f>R30*Q29</f>
        <v>97656.25</v>
      </c>
      <c r="R30">
        <v>1.25</v>
      </c>
    </row>
    <row r="31">
      <c r="B31">
        <f>B30+1</f>
        <v>5</v>
      </c>
      <c r="C31">
        <f>C30*(D31)</f>
        <v>0.02</v>
      </c>
      <c r="D31">
        <v>5</v>
      </c>
      <c r="E31">
        <f>E30*(F31)</f>
        <v>640</v>
      </c>
      <c r="F31">
        <f>D31*0.3+1</f>
        <v>2.5</v>
      </c>
      <c r="G31">
        <f>E31*H31</f>
        <v>320</v>
      </c>
      <c r="H31">
        <v>0.5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f>R31*Q30</f>
        <v>195312.5</v>
      </c>
      <c r="R31">
        <v>2</v>
      </c>
    </row>
    <row r="32">
      <c r="B32">
        <f>B31+1</f>
        <v>6</v>
      </c>
      <c r="C32">
        <f>C31*(D32)</f>
        <v>0.024</v>
      </c>
      <c r="D32">
        <v>1.2</v>
      </c>
      <c r="E32">
        <f>E31*(F32)</f>
        <v>870.3999999999999</v>
      </c>
      <c r="F32">
        <f>D32*0.3+1</f>
        <v>1.3599999999999999</v>
      </c>
      <c r="G32">
        <f>E32*H32</f>
        <v>435.19999999999993</v>
      </c>
      <c r="H32">
        <v>0.5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f>R32*Q31</f>
        <v>244140.625</v>
      </c>
      <c r="R32">
        <v>1.25</v>
      </c>
    </row>
    <row r="33">
      <c r="B33">
        <f>B32+1</f>
        <v>7</v>
      </c>
      <c r="C33">
        <f>C32*(D33)</f>
        <v>0.0288</v>
      </c>
      <c r="D33">
        <v>1.2</v>
      </c>
      <c r="E33">
        <f>E32*(F33)</f>
        <v>1183.7439999999997</v>
      </c>
      <c r="F33">
        <f>D33*0.3+1</f>
        <v>1.3599999999999999</v>
      </c>
      <c r="G33">
        <f>E33*H33</f>
        <v>591.8719999999998</v>
      </c>
      <c r="H33">
        <v>0.5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f>R33*Q32</f>
        <v>305175.78125</v>
      </c>
      <c r="R33">
        <v>1.25</v>
      </c>
    </row>
    <row r="34">
      <c r="B34">
        <f>B33+1</f>
        <v>8</v>
      </c>
      <c r="C34">
        <f>C33*(D34)</f>
        <v>0.03456</v>
      </c>
      <c r="D34">
        <v>1.2</v>
      </c>
      <c r="E34">
        <f>E33*(F34)</f>
        <v>1609.8918399999993</v>
      </c>
      <c r="F34">
        <f>D34*0.3+1</f>
        <v>1.3599999999999999</v>
      </c>
      <c r="G34">
        <f>E34*H34</f>
        <v>804.9459199999997</v>
      </c>
      <c r="H34">
        <v>0.5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f>R34*Q33</f>
        <v>381469.7265625</v>
      </c>
      <c r="R34">
        <v>1.25</v>
      </c>
    </row>
    <row r="35">
      <c r="B35">
        <f>B34+1</f>
        <v>9</v>
      </c>
      <c r="C35">
        <f>C34*(D35)</f>
        <v>0.041472</v>
      </c>
      <c r="D35">
        <v>1.2</v>
      </c>
      <c r="E35">
        <f>E34*(F35)</f>
        <v>2189.452902399999</v>
      </c>
      <c r="F35">
        <f>D35*0.3+1</f>
        <v>1.3599999999999999</v>
      </c>
      <c r="G35">
        <f>E35*H35</f>
        <v>1094.7264511999995</v>
      </c>
      <c r="H35">
        <v>0.5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f>R35*Q34</f>
        <v>476837.158203125</v>
      </c>
      <c r="R35">
        <v>1.25</v>
      </c>
    </row>
    <row r="36">
      <c r="B36">
        <f>B35+1</f>
        <v>10</v>
      </c>
      <c r="C36">
        <f>C35*(D36)</f>
        <v>0.165888</v>
      </c>
      <c r="D36">
        <v>4</v>
      </c>
      <c r="E36">
        <f>E35*(F36)</f>
        <v>4816.7963852799985</v>
      </c>
      <c r="F36">
        <f>D36*0.3+1</f>
        <v>2.2</v>
      </c>
      <c r="G36">
        <f>E36*H36</f>
        <v>2408.3981926399993</v>
      </c>
      <c r="H36">
        <v>0.5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f>R36*Q35</f>
        <v>953674.31640625</v>
      </c>
      <c r="R36">
        <v>2</v>
      </c>
    </row>
    <row r="37">
      <c r="B37">
        <f>B36+1</f>
        <v>11</v>
      </c>
      <c r="C37">
        <f>C36*(D37)</f>
        <v>0.1990656</v>
      </c>
      <c r="D37">
        <v>1.2</v>
      </c>
      <c r="E37">
        <f>E36*(F37)</f>
        <v>6550.843083980797</v>
      </c>
      <c r="F37">
        <f>D37*0.3+1</f>
        <v>1.3599999999999999</v>
      </c>
      <c r="G37">
        <f>E37*H37</f>
        <v>3275.4215419903985</v>
      </c>
      <c r="H37">
        <v>0.5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f>R37*Q36</f>
        <v>1144409.1796875</v>
      </c>
      <c r="R37">
        <v>1.2</v>
      </c>
    </row>
    <row r="38">
      <c r="B38">
        <f>B37+1</f>
        <v>12</v>
      </c>
      <c r="C38">
        <f>C37*(D38)</f>
        <v>0.23887872</v>
      </c>
      <c r="D38">
        <v>1.2</v>
      </c>
      <c r="E38">
        <f>E37*(F38)</f>
        <v>8909.146594213884</v>
      </c>
      <c r="F38">
        <f>D38*0.3+1</f>
        <v>1.3599999999999999</v>
      </c>
      <c r="G38">
        <f>E38*H38</f>
        <v>4454.573297106942</v>
      </c>
      <c r="H38">
        <v>0.5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f>R38*Q37</f>
        <v>1373291.015625</v>
      </c>
      <c r="R38">
        <v>1.2</v>
      </c>
    </row>
    <row r="39">
      <c r="B39">
        <f>B38+1</f>
        <v>13</v>
      </c>
      <c r="C39">
        <f>C38*(D39)</f>
        <v>0.286654464</v>
      </c>
      <c r="D39">
        <v>1.2</v>
      </c>
      <c r="E39">
        <f>E38*(F39)</f>
        <v>12116.439368130881</v>
      </c>
      <c r="F39">
        <f>D39*0.3+1</f>
        <v>1.3599999999999999</v>
      </c>
      <c r="G39">
        <f>E39*H39</f>
        <v>6058.219684065441</v>
      </c>
      <c r="H39">
        <v>0.5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f>R39*Q38</f>
        <v>1647949.21875</v>
      </c>
      <c r="R39">
        <v>1.2</v>
      </c>
    </row>
    <row r="40">
      <c r="B40">
        <f>B39+1</f>
        <v>14</v>
      </c>
      <c r="C40">
        <f>C39*(D40)</f>
        <v>0.3439853568</v>
      </c>
      <c r="D40">
        <v>1.2</v>
      </c>
      <c r="E40">
        <f>E39*(F40)</f>
        <v>16478.357540658</v>
      </c>
      <c r="F40">
        <f>D40*0.3+1</f>
        <v>1.3599999999999999</v>
      </c>
      <c r="G40">
        <f>E40*H40</f>
        <v>8239.178770329</v>
      </c>
      <c r="H40">
        <v>0.5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f>R40*Q39</f>
        <v>1977539.0625</v>
      </c>
      <c r="R40">
        <v>1.2</v>
      </c>
    </row>
    <row r="41">
      <c r="B41">
        <f>B40+1</f>
        <v>15</v>
      </c>
      <c r="C41">
        <f>C40*(D41)</f>
        <v>0.8599633919999999</v>
      </c>
      <c r="D41">
        <v>2.5</v>
      </c>
      <c r="E41">
        <f>E40*(F41)</f>
        <v>28837.125696151496</v>
      </c>
      <c r="F41">
        <f>D41*0.3+1</f>
        <v>1.75</v>
      </c>
      <c r="G41">
        <f>E41*H41</f>
        <v>14418.562848075748</v>
      </c>
      <c r="H41">
        <v>0.5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f>R41*Q40</f>
        <v>3955078.125</v>
      </c>
      <c r="R41">
        <v>2</v>
      </c>
    </row>
    <row r="42">
      <c r="B42">
        <f>B41+1</f>
        <v>16</v>
      </c>
      <c r="C42">
        <f>C41*(D42)</f>
        <v>1.0319560704</v>
      </c>
      <c r="D42">
        <v>1.2</v>
      </c>
      <c r="E42">
        <f>E41*(F42)</f>
        <v>39218.49094676603</v>
      </c>
      <c r="F42">
        <f>D42*0.3+1</f>
        <v>1.3599999999999999</v>
      </c>
      <c r="G42">
        <f>E42*H42</f>
        <v>19609.245473383016</v>
      </c>
      <c r="H42">
        <v>0.5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f>R42*Q41</f>
        <v>4350585.9375</v>
      </c>
      <c r="R42">
        <v>1.1</v>
      </c>
    </row>
    <row r="43">
      <c r="B43">
        <f>B42+1</f>
        <v>17</v>
      </c>
      <c r="C43">
        <f>C42*(D43)</f>
        <v>1.2383472844799999</v>
      </c>
      <c r="D43">
        <v>1.2</v>
      </c>
      <c r="E43">
        <f>E42*(F43)</f>
        <v>53337.1476876018</v>
      </c>
      <c r="F43">
        <f>D43*0.3+1</f>
        <v>1.3599999999999999</v>
      </c>
      <c r="G43">
        <f>E43*H43</f>
        <v>26668.5738438009</v>
      </c>
      <c r="H43">
        <v>0.5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f>R43*Q42</f>
        <v>4785644.53125</v>
      </c>
      <c r="R43">
        <v>1.1</v>
      </c>
    </row>
    <row r="44">
      <c r="B44">
        <f>B43+1</f>
        <v>18</v>
      </c>
      <c r="C44">
        <f>C43*(D44)</f>
        <v>1.4860167413759997</v>
      </c>
      <c r="D44">
        <v>1.2</v>
      </c>
      <c r="E44">
        <f>E43*(F44)</f>
        <v>72538.52085513844</v>
      </c>
      <c r="F44">
        <f>D44*0.3+1</f>
        <v>1.3599999999999999</v>
      </c>
      <c r="G44">
        <f>E44*H44</f>
        <v>36269.26042756922</v>
      </c>
      <c r="H44">
        <v>0.5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f>R44*Q43</f>
        <v>5264208.984375</v>
      </c>
      <c r="R44">
        <v>1.1</v>
      </c>
    </row>
    <row r="45">
      <c r="B45">
        <f>B44+1</f>
        <v>19</v>
      </c>
      <c r="C45">
        <f>C44*(D45)</f>
        <v>1.7832200896511996</v>
      </c>
      <c r="D45">
        <v>1.2</v>
      </c>
      <c r="E45">
        <f>E44*(F45)</f>
        <v>98652.38836298828</v>
      </c>
      <c r="F45">
        <f>D45*0.3+1</f>
        <v>1.3599999999999999</v>
      </c>
      <c r="G45">
        <f>E45*H45</f>
        <v>49326.19418149414</v>
      </c>
      <c r="H45">
        <v>0.5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f>R45*Q44</f>
        <v>5790629.882812501</v>
      </c>
      <c r="R45">
        <v>1.1</v>
      </c>
    </row>
    <row r="46">
      <c r="B46">
        <f>B45+1</f>
        <v>20</v>
      </c>
      <c r="C46">
        <f>C45*(D46)</f>
        <v>3.566440179302399</v>
      </c>
      <c r="D46">
        <v>2</v>
      </c>
      <c r="E46">
        <f>E45*(F46)</f>
        <v>157843.82138078124</v>
      </c>
      <c r="F46">
        <f>D46*0.3+1</f>
        <v>1.6</v>
      </c>
      <c r="G46">
        <f>E46*H46</f>
        <v>78921.91069039062</v>
      </c>
      <c r="H46">
        <v>0.5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f>R46*Q45</f>
        <v>6369692.871093752</v>
      </c>
      <c r="R46">
        <v>1.1</v>
      </c>
    </row>
    <row r="48">
      <c r="A48" t="str">
        <v>Office supply</v>
      </c>
      <c r="B48" t="str">
        <v>Level</v>
      </c>
      <c r="C48" t="str">
        <v>Cost - Time</v>
      </c>
      <c r="D48" t="str">
        <v>Scale</v>
      </c>
      <c r="E48" t="str">
        <v>Cash</v>
      </c>
      <c r="F48" t="str">
        <v>Scale</v>
      </c>
      <c r="G48" t="str">
        <v>SUP</v>
      </c>
      <c r="H48" t="str">
        <v>Scale</v>
      </c>
      <c r="I48" t="str">
        <v>CON</v>
      </c>
      <c r="J48" t="str">
        <v>Scale</v>
      </c>
      <c r="K48" t="str">
        <v>REP</v>
      </c>
      <c r="L48" t="str">
        <v>Scale</v>
      </c>
      <c r="M48" t="str">
        <v>GREP</v>
      </c>
      <c r="N48" t="str">
        <v>Scale</v>
      </c>
      <c r="O48" t="str">
        <v>Electricity</v>
      </c>
      <c r="P48" t="str">
        <v>Scale</v>
      </c>
      <c r="Q48" t="str">
        <v>Generation of Supply/hr</v>
      </c>
      <c r="R48" t="str">
        <v>Scale</v>
      </c>
    </row>
    <row r="49"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Q49">
        <v>80</v>
      </c>
    </row>
    <row r="50">
      <c r="B50">
        <f>B49+1</f>
        <v>2</v>
      </c>
      <c r="C50">
        <v>0.001</v>
      </c>
      <c r="E50">
        <f>F50*G50</f>
        <v>0</v>
      </c>
      <c r="F50">
        <v>0.7</v>
      </c>
      <c r="G50">
        <f>Q50*AA50</f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f>ROUNDUP(O49*P50,0)</f>
        <v>3</v>
      </c>
      <c r="P50">
        <v>1.25</v>
      </c>
      <c r="Q50">
        <f>R50*Q49</f>
        <v>100</v>
      </c>
      <c r="R50">
        <v>1.25</v>
      </c>
    </row>
    <row r="51">
      <c r="B51">
        <f>B50+1</f>
        <v>3</v>
      </c>
      <c r="C51">
        <f>C50*(D51)</f>
        <v>0.002</v>
      </c>
      <c r="D51">
        <v>2</v>
      </c>
      <c r="E51">
        <f>F51*G51</f>
        <v>0</v>
      </c>
      <c r="F51">
        <v>0.7</v>
      </c>
      <c r="G51">
        <f>Q51*AA51</f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f>ROUNDUP(O50*P51,0)</f>
        <v>4</v>
      </c>
      <c r="P51">
        <v>1.25</v>
      </c>
      <c r="Q51">
        <f>R51*Q50</f>
        <v>125</v>
      </c>
      <c r="R51">
        <v>1.25</v>
      </c>
    </row>
    <row r="52">
      <c r="B52">
        <f>B51+1</f>
        <v>4</v>
      </c>
      <c r="C52">
        <f>C51*(D52)</f>
        <v>0.004</v>
      </c>
      <c r="D52">
        <v>2</v>
      </c>
      <c r="E52">
        <f>F52*G52</f>
        <v>0</v>
      </c>
      <c r="F52">
        <v>0.7</v>
      </c>
      <c r="G52">
        <f>Q52*AA52</f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f>ROUNDUP(O51*P52,0)</f>
        <v>5</v>
      </c>
      <c r="P52">
        <v>1.25</v>
      </c>
      <c r="Q52">
        <f>R52*Q51</f>
        <v>156.25</v>
      </c>
      <c r="R52">
        <v>1.25</v>
      </c>
    </row>
    <row r="53">
      <c r="B53">
        <f>B52+1</f>
        <v>5</v>
      </c>
      <c r="C53">
        <f>C52*(D53)</f>
        <v>0.02</v>
      </c>
      <c r="D53">
        <v>5</v>
      </c>
      <c r="E53">
        <f>F53*G53</f>
        <v>0</v>
      </c>
      <c r="F53">
        <v>0.7</v>
      </c>
      <c r="G53">
        <f>Q53*AA53</f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f>ROUNDUP(O52*P53,0)</f>
        <v>10</v>
      </c>
      <c r="P53">
        <v>2</v>
      </c>
      <c r="Q53">
        <f>R53*Q52</f>
        <v>312.5</v>
      </c>
      <c r="R53">
        <v>2</v>
      </c>
    </row>
    <row r="54">
      <c r="B54">
        <f>B53+1</f>
        <v>6</v>
      </c>
      <c r="C54">
        <f>C53*(D54)</f>
        <v>0.024</v>
      </c>
      <c r="D54">
        <v>1.2</v>
      </c>
      <c r="E54">
        <f>F54*G54</f>
        <v>0</v>
      </c>
      <c r="F54">
        <v>0.7</v>
      </c>
      <c r="G54">
        <f>Q54*AA54</f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f>ROUNDUP(O53*P54,0)</f>
        <v>13</v>
      </c>
      <c r="P54">
        <v>1.25</v>
      </c>
      <c r="Q54">
        <f>R54*Q53</f>
        <v>390.625</v>
      </c>
      <c r="R54">
        <v>1.25</v>
      </c>
    </row>
    <row r="55">
      <c r="B55">
        <f>B54+1</f>
        <v>7</v>
      </c>
      <c r="C55">
        <f>C54*(D55)</f>
        <v>0.0288</v>
      </c>
      <c r="D55">
        <v>1.2</v>
      </c>
      <c r="E55">
        <f>F55*G55</f>
        <v>0</v>
      </c>
      <c r="F55">
        <v>0.7</v>
      </c>
      <c r="G55">
        <f>Q55*AA55</f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f>ROUNDUP(O54*P55,0)</f>
        <v>17</v>
      </c>
      <c r="P55">
        <v>1.25</v>
      </c>
      <c r="Q55">
        <f>R55*Q54</f>
        <v>488.28125</v>
      </c>
      <c r="R55">
        <v>1.25</v>
      </c>
    </row>
    <row r="56">
      <c r="B56">
        <f>B55+1</f>
        <v>8</v>
      </c>
      <c r="C56">
        <f>C55*(D56)</f>
        <v>0.03456</v>
      </c>
      <c r="D56">
        <v>1.2</v>
      </c>
      <c r="E56">
        <f>F56*G56</f>
        <v>0</v>
      </c>
      <c r="F56">
        <v>0.7</v>
      </c>
      <c r="G56">
        <f>Q56*AA56</f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f>ROUNDUP(O55*P56,0)</f>
        <v>22</v>
      </c>
      <c r="P56">
        <v>1.25</v>
      </c>
      <c r="Q56">
        <f>R56*Q55</f>
        <v>610.3515625</v>
      </c>
      <c r="R56">
        <v>1.25</v>
      </c>
    </row>
    <row r="57">
      <c r="B57">
        <f>B56+1</f>
        <v>9</v>
      </c>
      <c r="C57">
        <f>C56*(D57)</f>
        <v>0.041472</v>
      </c>
      <c r="D57">
        <v>1.2</v>
      </c>
      <c r="E57">
        <f>F57*G57</f>
        <v>0</v>
      </c>
      <c r="F57">
        <v>0.7</v>
      </c>
      <c r="G57">
        <f>Q57*AA57</f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f>ROUNDUP(O56*P57,0)</f>
        <v>28</v>
      </c>
      <c r="P57">
        <v>1.25</v>
      </c>
      <c r="Q57">
        <f>R57*Q56</f>
        <v>762.939453125</v>
      </c>
      <c r="R57">
        <v>1.25</v>
      </c>
    </row>
    <row r="58">
      <c r="B58">
        <f>B57+1</f>
        <v>10</v>
      </c>
      <c r="C58">
        <f>C57*(D58)</f>
        <v>0.165888</v>
      </c>
      <c r="D58">
        <v>4</v>
      </c>
      <c r="E58">
        <f>F58*G58</f>
        <v>0</v>
      </c>
      <c r="F58">
        <v>0.7</v>
      </c>
      <c r="G58">
        <f>Q58*AA58</f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f>ROUNDUP(O57*P58,0)</f>
        <v>56</v>
      </c>
      <c r="P58">
        <v>2</v>
      </c>
      <c r="Q58">
        <f>R58*Q57</f>
        <v>1525.87890625</v>
      </c>
      <c r="R58">
        <v>2</v>
      </c>
    </row>
    <row r="59">
      <c r="B59">
        <f>B58+1</f>
        <v>11</v>
      </c>
      <c r="C59">
        <f>C58*(D59)</f>
        <v>0.1990656</v>
      </c>
      <c r="D59">
        <v>1.2</v>
      </c>
      <c r="E59">
        <f>F59*G59</f>
        <v>0</v>
      </c>
      <c r="F59">
        <v>0.7</v>
      </c>
      <c r="G59">
        <f>Q59*AA59</f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f>ROUNDUP(O58*P59,0)</f>
        <v>59</v>
      </c>
      <c r="P59">
        <v>1.05</v>
      </c>
      <c r="Q59">
        <f>R59*Q58</f>
        <v>1831.0546875</v>
      </c>
      <c r="R59">
        <v>1.2</v>
      </c>
    </row>
    <row r="60">
      <c r="B60">
        <f>B59+1</f>
        <v>12</v>
      </c>
      <c r="C60">
        <f>C59*(D60)</f>
        <v>0.23887872</v>
      </c>
      <c r="D60">
        <v>1.2</v>
      </c>
      <c r="E60">
        <f>F60*G60</f>
        <v>0</v>
      </c>
      <c r="F60">
        <v>0.7</v>
      </c>
      <c r="G60">
        <f>Q60*AA60</f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f>ROUNDUP(O59*P60,0)</f>
        <v>62</v>
      </c>
      <c r="P60">
        <v>1.05</v>
      </c>
      <c r="Q60">
        <f>R60*Q59</f>
        <v>2197.265625</v>
      </c>
      <c r="R60">
        <v>1.2</v>
      </c>
    </row>
    <row r="61">
      <c r="B61">
        <f>B60+1</f>
        <v>13</v>
      </c>
      <c r="C61">
        <f>C60*(D61)</f>
        <v>0.286654464</v>
      </c>
      <c r="D61">
        <v>1.2</v>
      </c>
      <c r="E61">
        <f>F61*G61</f>
        <v>0</v>
      </c>
      <c r="F61">
        <v>0.7</v>
      </c>
      <c r="G61">
        <f>Q61*AA61</f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f>ROUNDUP(O60*P61,0)</f>
        <v>66</v>
      </c>
      <c r="P61">
        <v>1.05</v>
      </c>
      <c r="Q61">
        <f>R61*Q60</f>
        <v>2636.71875</v>
      </c>
      <c r="R61">
        <v>1.2</v>
      </c>
    </row>
    <row r="62">
      <c r="B62">
        <f>B61+1</f>
        <v>14</v>
      </c>
      <c r="C62">
        <f>C61*(D62)</f>
        <v>0.3439853568</v>
      </c>
      <c r="D62">
        <v>1.2</v>
      </c>
      <c r="E62">
        <f>F62*G62</f>
        <v>0</v>
      </c>
      <c r="F62">
        <v>0.7</v>
      </c>
      <c r="G62">
        <f>Q62*AA62</f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f>ROUNDUP(O61*P62,0)</f>
        <v>70</v>
      </c>
      <c r="P62">
        <v>1.05</v>
      </c>
      <c r="Q62">
        <f>R62*Q61</f>
        <v>3164.0625</v>
      </c>
      <c r="R62">
        <v>1.2</v>
      </c>
    </row>
    <row r="63">
      <c r="B63">
        <f>B62+1</f>
        <v>15</v>
      </c>
      <c r="C63">
        <f>C62*(D63)</f>
        <v>0.8599633919999999</v>
      </c>
      <c r="D63">
        <v>2.5</v>
      </c>
      <c r="E63">
        <f>F63*G63</f>
        <v>0</v>
      </c>
      <c r="F63">
        <v>0.7</v>
      </c>
      <c r="G63">
        <f>Q63*AA63</f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f>ROUNDUP(O62*P63,0)</f>
        <v>140</v>
      </c>
      <c r="P63">
        <v>2</v>
      </c>
      <c r="Q63">
        <f>R63*Q62</f>
        <v>6328.125</v>
      </c>
      <c r="R63">
        <v>2</v>
      </c>
    </row>
    <row r="64">
      <c r="B64">
        <f>B63+1</f>
        <v>16</v>
      </c>
      <c r="C64">
        <f>C63*(D64)</f>
        <v>1.0319560704</v>
      </c>
      <c r="D64">
        <v>1.2</v>
      </c>
      <c r="E64">
        <f>F64*G64</f>
        <v>0</v>
      </c>
      <c r="F64">
        <v>0.7</v>
      </c>
      <c r="G64">
        <f>Q64*AA64</f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f>ROUNDUP(O63*P64,0)</f>
        <v>147</v>
      </c>
      <c r="P64">
        <v>1.05</v>
      </c>
      <c r="Q64">
        <f>R64*Q63</f>
        <v>6960.937500000001</v>
      </c>
      <c r="R64">
        <v>1.1</v>
      </c>
    </row>
    <row r="65">
      <c r="B65">
        <f>B64+1</f>
        <v>17</v>
      </c>
      <c r="C65">
        <f>C64*(D65)</f>
        <v>1.2383472844799999</v>
      </c>
      <c r="D65">
        <v>1.2</v>
      </c>
      <c r="E65">
        <f>F65*G65</f>
        <v>0</v>
      </c>
      <c r="F65">
        <v>0.7</v>
      </c>
      <c r="G65">
        <f>Q65*AA65</f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f>ROUNDUP(O64*P65,0)</f>
        <v>155</v>
      </c>
      <c r="P65">
        <v>1.05</v>
      </c>
      <c r="Q65">
        <f>R65*Q64</f>
        <v>7657.031250000002</v>
      </c>
      <c r="R65">
        <v>1.1</v>
      </c>
    </row>
    <row r="66">
      <c r="B66">
        <f>B65+1</f>
        <v>18</v>
      </c>
      <c r="C66">
        <f>C65*(D66)</f>
        <v>1.4860167413759997</v>
      </c>
      <c r="D66">
        <v>1.2</v>
      </c>
      <c r="E66">
        <f>F66*G66</f>
        <v>0</v>
      </c>
      <c r="F66">
        <v>0.7</v>
      </c>
      <c r="G66">
        <f>Q66*AA66</f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f>ROUNDUP(O65*P66,0)</f>
        <v>163</v>
      </c>
      <c r="P66">
        <v>1.05</v>
      </c>
      <c r="Q66">
        <f>R66*Q65</f>
        <v>8422.734375000002</v>
      </c>
      <c r="R66">
        <v>1.1</v>
      </c>
    </row>
    <row r="67">
      <c r="B67">
        <f>B66+1</f>
        <v>19</v>
      </c>
      <c r="C67">
        <f>C66*(D67)</f>
        <v>1.7832200896511996</v>
      </c>
      <c r="D67">
        <v>1.2</v>
      </c>
      <c r="E67">
        <f>F67*G67</f>
        <v>0</v>
      </c>
      <c r="F67">
        <v>0.7</v>
      </c>
      <c r="G67">
        <f>Q67*AA67</f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f>ROUNDUP(O66*P67,0)</f>
        <v>172</v>
      </c>
      <c r="P67">
        <v>1.05</v>
      </c>
      <c r="Q67">
        <f>R67*Q66</f>
        <v>9265.007812500004</v>
      </c>
      <c r="R67">
        <v>1.1</v>
      </c>
    </row>
    <row r="68">
      <c r="B68">
        <f>B67+1</f>
        <v>20</v>
      </c>
      <c r="C68">
        <f>C67*(D68)</f>
        <v>3.566440179302399</v>
      </c>
      <c r="D68">
        <v>2</v>
      </c>
      <c r="E68">
        <f>F68*G68</f>
        <v>0</v>
      </c>
      <c r="F68">
        <v>0.7</v>
      </c>
      <c r="G68">
        <f>Q68*AA68</f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f>ROUNDUP(O67*P68,0)</f>
        <v>190</v>
      </c>
      <c r="P68">
        <v>1.1</v>
      </c>
      <c r="Q68">
        <f>R68*Q67</f>
        <v>10191.508593750004</v>
      </c>
      <c r="R68">
        <v>1.1</v>
      </c>
    </row>
    <row r="70">
      <c r="A70" t="str">
        <v>Storage Room</v>
      </c>
      <c r="B70" t="str">
        <v>Level</v>
      </c>
      <c r="C70" t="str">
        <v>Cost - Time</v>
      </c>
      <c r="D70" t="str">
        <v>Scale</v>
      </c>
      <c r="E70" t="str">
        <v>Cash</v>
      </c>
      <c r="F70" t="str">
        <v>Scale</v>
      </c>
      <c r="G70" t="str">
        <v>SUP</v>
      </c>
      <c r="H70" t="str">
        <v>Scale</v>
      </c>
      <c r="I70" t="str">
        <v>CON</v>
      </c>
      <c r="J70" t="str">
        <v>Scale</v>
      </c>
      <c r="K70" t="str">
        <v>REP</v>
      </c>
      <c r="L70" t="str">
        <v>Scale</v>
      </c>
      <c r="M70" t="str">
        <v>GREP</v>
      </c>
      <c r="N70" t="str">
        <v>Scale</v>
      </c>
      <c r="O70" t="str">
        <v>Electricity</v>
      </c>
      <c r="P70" t="str">
        <v>Scale</v>
      </c>
      <c r="Q70" t="str">
        <v>Amount holding (SUP)</v>
      </c>
      <c r="R70" t="str">
        <v>Scale</v>
      </c>
    </row>
    <row r="71"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Q71">
        <v>2000</v>
      </c>
    </row>
    <row r="72">
      <c r="B72">
        <f>B71+1</f>
        <v>2</v>
      </c>
      <c r="C72">
        <v>0.001</v>
      </c>
      <c r="E72">
        <v>120</v>
      </c>
      <c r="G72">
        <v>30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f>ROUNDUP(O71*P72,0)</f>
        <v>2</v>
      </c>
      <c r="P72">
        <v>1</v>
      </c>
      <c r="Q72">
        <f>R72*Q71</f>
        <v>2500</v>
      </c>
      <c r="R72">
        <v>1.25</v>
      </c>
    </row>
    <row r="73">
      <c r="B73">
        <f>B72+1</f>
        <v>3</v>
      </c>
      <c r="C73">
        <f>C72*(D73)</f>
        <v>0.002</v>
      </c>
      <c r="D73">
        <v>2</v>
      </c>
      <c r="E73">
        <f>E72*(F73)</f>
        <v>192</v>
      </c>
      <c r="F73">
        <f>D73*0.3+1</f>
        <v>1.6</v>
      </c>
      <c r="G73">
        <f>G72*(H73)</f>
        <v>44.4</v>
      </c>
      <c r="H73">
        <f>F73*0.3+1</f>
        <v>1.48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f>ROUNDUP(O72*P73,0)</f>
        <v>2</v>
      </c>
      <c r="P73">
        <v>1</v>
      </c>
      <c r="Q73">
        <f>R73*Q72</f>
        <v>3125</v>
      </c>
      <c r="R73">
        <v>1.25</v>
      </c>
    </row>
    <row r="74">
      <c r="B74">
        <f>B73+1</f>
        <v>4</v>
      </c>
      <c r="C74">
        <f>C73*(D74)</f>
        <v>0.004</v>
      </c>
      <c r="D74">
        <v>2</v>
      </c>
      <c r="E74">
        <f>E73*(F74)</f>
        <v>307.20000000000005</v>
      </c>
      <c r="F74">
        <f>D74*0.3+1</f>
        <v>1.6</v>
      </c>
      <c r="G74">
        <f>G73*(H73)</f>
        <v>65.712</v>
      </c>
      <c r="H74">
        <f>F74*0.3+1</f>
        <v>1.48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f>ROUNDUP(O73*P74,0)</f>
        <v>2</v>
      </c>
      <c r="P74">
        <v>1</v>
      </c>
      <c r="Q74">
        <f>R74*Q73</f>
        <v>3906.25</v>
      </c>
      <c r="R74">
        <v>1.25</v>
      </c>
    </row>
    <row r="75">
      <c r="B75">
        <f>B74+1</f>
        <v>5</v>
      </c>
      <c r="C75">
        <f>C74*(D75)</f>
        <v>0.02</v>
      </c>
      <c r="D75">
        <v>5</v>
      </c>
      <c r="E75">
        <f>E74*(F75)</f>
        <v>768.0000000000001</v>
      </c>
      <c r="F75">
        <f>D75*0.3+1</f>
        <v>2.5</v>
      </c>
      <c r="G75">
        <f>G74*(H74)</f>
        <v>97.25376</v>
      </c>
      <c r="H75">
        <f>F75*0.3+1</f>
        <v>1.75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f>ROUNDUP(O74*P75,0)</f>
        <v>10</v>
      </c>
      <c r="P75">
        <v>5</v>
      </c>
      <c r="Q75">
        <f>R75*Q74</f>
        <v>7812.5</v>
      </c>
      <c r="R75">
        <v>2</v>
      </c>
    </row>
    <row r="76">
      <c r="B76">
        <f>B75+1</f>
        <v>6</v>
      </c>
      <c r="C76">
        <f>C75*(D76)</f>
        <v>0.024</v>
      </c>
      <c r="D76">
        <v>1.2</v>
      </c>
      <c r="E76">
        <f>E75*(F76)</f>
        <v>1044.48</v>
      </c>
      <c r="F76">
        <f>D76*0.3+1</f>
        <v>1.3599999999999999</v>
      </c>
      <c r="G76">
        <f>G75*(H75)</f>
        <v>170.19407999999999</v>
      </c>
      <c r="H76">
        <f>F76*0.3+1</f>
        <v>1.408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f>ROUNDUP(O75*P76,0)</f>
        <v>10</v>
      </c>
      <c r="P76">
        <v>1</v>
      </c>
      <c r="Q76">
        <f>R76*Q75</f>
        <v>9765.625</v>
      </c>
      <c r="R76">
        <v>1.25</v>
      </c>
    </row>
    <row r="77">
      <c r="B77">
        <f>B76+1</f>
        <v>7</v>
      </c>
      <c r="C77">
        <f>C76*(D77)</f>
        <v>0.0288</v>
      </c>
      <c r="D77">
        <v>1.2</v>
      </c>
      <c r="E77">
        <f>E76*(F77)</f>
        <v>1420.4928</v>
      </c>
      <c r="F77">
        <f>D77*0.3+1</f>
        <v>1.3599999999999999</v>
      </c>
      <c r="G77">
        <f>G76*(H76)</f>
        <v>239.63326463999996</v>
      </c>
      <c r="H77">
        <f>F77*0.3+1</f>
        <v>1.408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f>ROUNDUP(O76*P77,0)</f>
        <v>10</v>
      </c>
      <c r="P77">
        <v>1</v>
      </c>
      <c r="Q77">
        <f>R77*Q76</f>
        <v>12207.03125</v>
      </c>
      <c r="R77">
        <v>1.25</v>
      </c>
    </row>
    <row r="78">
      <c r="B78">
        <f>B77+1</f>
        <v>8</v>
      </c>
      <c r="C78">
        <f>C77*(D78)</f>
        <v>0.03456</v>
      </c>
      <c r="D78">
        <v>1.2</v>
      </c>
      <c r="E78">
        <f>E77*(F78)</f>
        <v>1931.8702079999998</v>
      </c>
      <c r="F78">
        <f>D78*0.3+1</f>
        <v>1.3599999999999999</v>
      </c>
      <c r="G78">
        <f>G77*(H77)</f>
        <v>337.40363661311994</v>
      </c>
      <c r="H78">
        <f>F78*0.3+1</f>
        <v>1.408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f>ROUNDUP(O77*P78,0)</f>
        <v>10</v>
      </c>
      <c r="P78">
        <v>1</v>
      </c>
      <c r="Q78">
        <f>R78*Q77</f>
        <v>15258.7890625</v>
      </c>
      <c r="R78">
        <v>1.25</v>
      </c>
    </row>
    <row r="79">
      <c r="B79">
        <f>B78+1</f>
        <v>9</v>
      </c>
      <c r="C79">
        <f>C78*(D79)</f>
        <v>0.041472</v>
      </c>
      <c r="D79">
        <v>1.2</v>
      </c>
      <c r="E79">
        <f>E78*(F79)</f>
        <v>2627.3434828799996</v>
      </c>
      <c r="F79">
        <f>D79*0.3+1</f>
        <v>1.3599999999999999</v>
      </c>
      <c r="G79">
        <f>G78*(H78)</f>
        <v>475.06432035127284</v>
      </c>
      <c r="H79">
        <f>F79*0.3+1</f>
        <v>1.408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f>ROUNDUP(O78*P79,0)</f>
        <v>10</v>
      </c>
      <c r="P79">
        <v>1</v>
      </c>
      <c r="Q79">
        <f>R79*Q78</f>
        <v>19073.486328125</v>
      </c>
      <c r="R79">
        <v>1.25</v>
      </c>
    </row>
    <row r="80">
      <c r="B80">
        <f>B79+1</f>
        <v>10</v>
      </c>
      <c r="C80">
        <f>C79*(D80)</f>
        <v>0.165888</v>
      </c>
      <c r="D80">
        <v>4</v>
      </c>
      <c r="E80">
        <f>E79*(F80)</f>
        <v>5780.155662335999</v>
      </c>
      <c r="F80">
        <f>D80*0.3+1</f>
        <v>2.2</v>
      </c>
      <c r="G80">
        <f>G79*(H79)</f>
        <v>668.8905630545921</v>
      </c>
      <c r="H80">
        <f>F80*0.3+1</f>
        <v>1.6600000000000001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f>ROUNDUP(O79*P80,0)</f>
        <v>30</v>
      </c>
      <c r="P80">
        <v>3</v>
      </c>
      <c r="Q80">
        <f>R80*Q79</f>
        <v>38146.97265625</v>
      </c>
      <c r="R80">
        <v>2</v>
      </c>
    </row>
    <row r="81">
      <c r="B81">
        <f>B80+1</f>
        <v>11</v>
      </c>
      <c r="C81">
        <f>C80*(D81)</f>
        <v>0.1990656</v>
      </c>
      <c r="D81">
        <v>1.2</v>
      </c>
      <c r="E81">
        <f>E80*(F81)</f>
        <v>7861.011700776959</v>
      </c>
      <c r="F81">
        <f>D81*0.3+1</f>
        <v>1.3599999999999999</v>
      </c>
      <c r="G81">
        <f>G80*(H80)</f>
        <v>1110.358334670623</v>
      </c>
      <c r="H81">
        <f>F81*0.3+1</f>
        <v>1.408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f>ROUNDUP(O80*P81,0)</f>
        <v>30</v>
      </c>
      <c r="P81">
        <v>1</v>
      </c>
      <c r="Q81">
        <f>R81*Q80</f>
        <v>45776.3671875</v>
      </c>
      <c r="R81">
        <v>1.2</v>
      </c>
    </row>
    <row r="82">
      <c r="B82">
        <f>B81+1</f>
        <v>12</v>
      </c>
      <c r="C82">
        <f>C81*(D82)</f>
        <v>0.23887872</v>
      </c>
      <c r="D82">
        <v>1.2</v>
      </c>
      <c r="E82">
        <f>E81*(F82)</f>
        <v>10690.975913056664</v>
      </c>
      <c r="F82">
        <f>D82*0.3+1</f>
        <v>1.3599999999999999</v>
      </c>
      <c r="G82">
        <f>G81*(H81)</f>
        <v>1563.384535216237</v>
      </c>
      <c r="H82">
        <f>F82*0.3+1</f>
        <v>1.408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f>ROUNDUP(O81*P82,0)</f>
        <v>30</v>
      </c>
      <c r="P82">
        <v>1</v>
      </c>
      <c r="Q82">
        <f>R82*Q81</f>
        <v>54931.640625</v>
      </c>
      <c r="R82">
        <v>1.2</v>
      </c>
    </row>
    <row r="83">
      <c r="B83">
        <f>B82+1</f>
        <v>13</v>
      </c>
      <c r="C83">
        <f>C82*(D83)</f>
        <v>0.286654464</v>
      </c>
      <c r="D83">
        <v>1.2</v>
      </c>
      <c r="E83">
        <f>E82*(F83)</f>
        <v>14539.72724175706</v>
      </c>
      <c r="F83">
        <f>D83*0.3+1</f>
        <v>1.3599999999999999</v>
      </c>
      <c r="G83">
        <f>G82*(H82)</f>
        <v>2201.245425584462</v>
      </c>
      <c r="H83">
        <f>F83*0.3+1</f>
        <v>1.408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f>ROUNDUP(O82*P83,0)</f>
        <v>30</v>
      </c>
      <c r="P83">
        <v>1</v>
      </c>
      <c r="Q83">
        <f>R83*Q82</f>
        <v>65917.96875</v>
      </c>
      <c r="R83">
        <v>1.2</v>
      </c>
    </row>
    <row r="84">
      <c r="B84">
        <f>B83+1</f>
        <v>14</v>
      </c>
      <c r="C84">
        <f>C83*(D84)</f>
        <v>0.3439853568</v>
      </c>
      <c r="D84">
        <v>1.2</v>
      </c>
      <c r="E84">
        <f>E83*(F84)</f>
        <v>19774.0290487896</v>
      </c>
      <c r="F84">
        <f>D84*0.3+1</f>
        <v>1.3599999999999999</v>
      </c>
      <c r="G84">
        <f>G83*(H83)</f>
        <v>3099.3535592229223</v>
      </c>
      <c r="H84">
        <f>F84*0.3+1</f>
        <v>1.408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f>ROUNDUP(O83*P84,0)</f>
        <v>30</v>
      </c>
      <c r="P84">
        <v>1</v>
      </c>
      <c r="Q84">
        <f>R84*Q83</f>
        <v>79101.5625</v>
      </c>
      <c r="R84">
        <v>1.2</v>
      </c>
    </row>
    <row r="85">
      <c r="B85">
        <f>B84+1</f>
        <v>15</v>
      </c>
      <c r="C85">
        <f>C84*(D85)</f>
        <v>0.8599633919999999</v>
      </c>
      <c r="D85">
        <v>2.5</v>
      </c>
      <c r="E85">
        <f>E84*(F85)</f>
        <v>34604.5508353818</v>
      </c>
      <c r="F85">
        <f>D85*0.3+1</f>
        <v>1.75</v>
      </c>
      <c r="G85">
        <f>G84*(H84)</f>
        <v>4363.889811385874</v>
      </c>
      <c r="H85">
        <f>F85*0.3+1</f>
        <v>1.525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f>ROUNDUP(O84*P85,0)</f>
        <v>60</v>
      </c>
      <c r="P85">
        <v>2</v>
      </c>
      <c r="Q85">
        <f>R85*Q84</f>
        <v>158203.125</v>
      </c>
      <c r="R85">
        <v>2</v>
      </c>
    </row>
    <row r="86">
      <c r="B86">
        <f>B85+1</f>
        <v>16</v>
      </c>
      <c r="C86">
        <f>C85*(D86)</f>
        <v>1.0319560704</v>
      </c>
      <c r="D86">
        <v>1.2</v>
      </c>
      <c r="E86">
        <f>E85*(F86)</f>
        <v>47062.18913611925</v>
      </c>
      <c r="F86">
        <f>D86*0.3+1</f>
        <v>1.3599999999999999</v>
      </c>
      <c r="G86">
        <f>G85*(H85)</f>
        <v>6654.931962363457</v>
      </c>
      <c r="H86">
        <f>F86*0.3+1</f>
        <v>1.408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f>ROUNDUP(O85*P86,0)</f>
        <v>60</v>
      </c>
      <c r="P86">
        <v>1</v>
      </c>
      <c r="Q86">
        <f>R86*Q85</f>
        <v>174023.4375</v>
      </c>
      <c r="R86">
        <v>1.1</v>
      </c>
    </row>
    <row r="87">
      <c r="B87">
        <f>B86+1</f>
        <v>17</v>
      </c>
      <c r="C87">
        <f>C86*(D87)</f>
        <v>1.2383472844799999</v>
      </c>
      <c r="D87">
        <v>1.2</v>
      </c>
      <c r="E87">
        <f>E86*(F87)</f>
        <v>64004.57722512217</v>
      </c>
      <c r="F87">
        <f>D87*0.3+1</f>
        <v>1.3599999999999999</v>
      </c>
      <c r="G87">
        <f>G86*(H86)</f>
        <v>9370.144203007747</v>
      </c>
      <c r="H87">
        <f>F87*0.3+1</f>
        <v>1.408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f>ROUNDUP(O86*P87,0)</f>
        <v>60</v>
      </c>
      <c r="P87">
        <v>1</v>
      </c>
      <c r="Q87">
        <f>R87*Q86</f>
        <v>191425.78125000003</v>
      </c>
      <c r="R87">
        <v>1.1</v>
      </c>
    </row>
    <row r="88">
      <c r="B88">
        <f>B87+1</f>
        <v>18</v>
      </c>
      <c r="C88">
        <f>C87*(D88)</f>
        <v>1.4860167413759997</v>
      </c>
      <c r="D88">
        <v>1.2</v>
      </c>
      <c r="E88">
        <f>E87*(F88)</f>
        <v>87046.22502616614</v>
      </c>
      <c r="F88">
        <f>D88*0.3+1</f>
        <v>1.3599999999999999</v>
      </c>
      <c r="G88">
        <f>G87*(H87)</f>
        <v>13193.163037834907</v>
      </c>
      <c r="H88">
        <f>F88*0.3+1</f>
        <v>1.408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f>ROUNDUP(O87*P88,0)</f>
        <v>60</v>
      </c>
      <c r="P88">
        <v>1</v>
      </c>
      <c r="Q88">
        <f>R88*Q87</f>
        <v>210568.35937500006</v>
      </c>
      <c r="R88">
        <v>1.1</v>
      </c>
    </row>
    <row r="89">
      <c r="B89">
        <f>B88+1</f>
        <v>19</v>
      </c>
      <c r="C89">
        <f>C88*(D89)</f>
        <v>1.7832200896511996</v>
      </c>
      <c r="D89">
        <v>1.2</v>
      </c>
      <c r="E89">
        <f>E88*(F89)</f>
        <v>118382.86603558593</v>
      </c>
      <c r="F89">
        <f>D89*0.3+1</f>
        <v>1.3599999999999999</v>
      </c>
      <c r="G89">
        <f>G88*(H88)</f>
        <v>18575.973557271547</v>
      </c>
      <c r="H89">
        <f>F89*0.3+1</f>
        <v>1.408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f>ROUNDUP(O88*P89,0)</f>
        <v>60</v>
      </c>
      <c r="P89">
        <v>1</v>
      </c>
      <c r="Q89">
        <f>R89*Q88</f>
        <v>231625.1953125001</v>
      </c>
      <c r="R89">
        <v>1.1</v>
      </c>
    </row>
    <row r="90">
      <c r="B90">
        <f>B89+1</f>
        <v>20</v>
      </c>
      <c r="C90">
        <f>C89*(D90)</f>
        <v>3.566440179302399</v>
      </c>
      <c r="D90">
        <v>2</v>
      </c>
      <c r="E90">
        <f>E89*(F90)</f>
        <v>189412.5856569375</v>
      </c>
      <c r="F90">
        <f>D90*0.3+1</f>
        <v>1.6</v>
      </c>
      <c r="G90">
        <f>G89*(H89)</f>
        <v>26154.970768638337</v>
      </c>
      <c r="H90">
        <f>F90*0.3+1</f>
        <v>1.48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f>ROUNDUP(O89*P90,0)</f>
        <v>120</v>
      </c>
      <c r="P90">
        <v>2</v>
      </c>
      <c r="Q90">
        <f>R90*Q89</f>
        <v>254787.71484375012</v>
      </c>
      <c r="R90">
        <v>1.1</v>
      </c>
    </row>
  </sheetData>
  <pageMargins left="0.7" right="0.7" top="0.75" bottom="0.75" header="0.3" footer="0.3"/>
  <ignoredErrors>
    <ignoredError numberStoredAsText="1" sqref="A4:R9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Views>
    <sheetView workbookViewId="0" rightToLeft="0"/>
  </sheetViews>
  <sheetData>
    <row r="1">
      <c r="D1" t="str">
        <v>Type</v>
      </c>
    </row>
    <row r="2">
      <c r="D2" t="str">
        <v>Resources</v>
      </c>
    </row>
    <row r="3">
      <c r="D3" t="str">
        <v>Unlock</v>
      </c>
    </row>
    <row r="4">
      <c r="D4" t="str">
        <v>Time</v>
      </c>
    </row>
    <row r="5">
      <c r="D5" t="str">
        <v>Option</v>
      </c>
    </row>
    <row r="11">
      <c r="A11" t="str">
        <v>Research #</v>
      </c>
      <c r="B11" t="str">
        <v>Research</v>
      </c>
      <c r="C11" t="str">
        <v>Max Level</v>
      </c>
      <c r="D11" t="str">
        <v>Type</v>
      </c>
      <c r="E11" t="str">
        <v>Pre-Req</v>
      </c>
      <c r="F11" t="str">
        <v>R&amp;D Level requirement</v>
      </c>
      <c r="G11" t="str">
        <v>Cost Scale</v>
      </c>
      <c r="H11" t="str">
        <v>Effect per Level</v>
      </c>
    </row>
    <row r="12">
      <c r="A12">
        <v>1</v>
      </c>
      <c r="B12" t="str">
        <v>Efficiency Manuals for $</v>
      </c>
      <c r="C12">
        <v>5</v>
      </c>
      <c r="D12" t="str">
        <v>Resources</v>
      </c>
      <c r="E12" t="str">
        <v>—</v>
      </c>
      <c r="F12">
        <v>1</v>
      </c>
      <c r="G12">
        <v>1.3</v>
      </c>
      <c r="H12" t="str">
        <v>5% increase in respective resources, per level</v>
      </c>
    </row>
    <row r="13">
      <c r="A13">
        <f>A12+1</f>
        <v>2</v>
      </c>
      <c r="B13" t="str">
        <v>Efficiency Manuals for SUP</v>
      </c>
      <c r="C13">
        <v>5</v>
      </c>
      <c r="D13" t="str">
        <v>Resources</v>
      </c>
      <c r="E13" t="str">
        <v>—</v>
      </c>
      <c r="F13">
        <v>1</v>
      </c>
      <c r="G13">
        <v>1.35</v>
      </c>
      <c r="H13" t="str">
        <v>5% increase in respective resources, per level</v>
      </c>
    </row>
    <row r="14">
      <c r="A14">
        <f>A13+1</f>
        <v>3</v>
      </c>
      <c r="B14" t="str">
        <v>Efficiency Manuals for CON</v>
      </c>
      <c r="C14">
        <v>5</v>
      </c>
      <c r="D14" t="str">
        <v>Resources</v>
      </c>
      <c r="E14" t="str">
        <v>—</v>
      </c>
      <c r="F14">
        <v>5</v>
      </c>
      <c r="G14">
        <v>1.5</v>
      </c>
      <c r="H14" t="str">
        <v>5% increase in respective resources, per level</v>
      </c>
    </row>
    <row r="15">
      <c r="A15">
        <f>A14+1</f>
        <v>4</v>
      </c>
      <c r="B15" t="str">
        <v>Efficiency Manuals for Mood</v>
      </c>
      <c r="C15">
        <v>5</v>
      </c>
      <c r="D15" t="str">
        <v>Resources</v>
      </c>
      <c r="E15" t="str">
        <v>—</v>
      </c>
      <c r="F15">
        <v>5</v>
      </c>
      <c r="G15">
        <v>1.2</v>
      </c>
      <c r="H15" t="str">
        <v>5% increase in respective resources, per level</v>
      </c>
    </row>
    <row r="16">
      <c r="A16">
        <f>A15+1</f>
        <v>5</v>
      </c>
      <c r="B16" t="str">
        <v>Efficiency Manuals REP</v>
      </c>
      <c r="C16">
        <v>5</v>
      </c>
      <c r="D16" t="str">
        <v>Resources</v>
      </c>
      <c r="E16" t="str">
        <v>—</v>
      </c>
      <c r="F16">
        <v>6</v>
      </c>
      <c r="G16">
        <v>1.25</v>
      </c>
      <c r="H16" t="str">
        <v>5% increase in respective resources, per level</v>
      </c>
    </row>
    <row r="17">
      <c r="A17">
        <f>A16+1</f>
        <v>6</v>
      </c>
      <c r="B17" t="str">
        <v>Efficiency Manuals GREP</v>
      </c>
      <c r="C17">
        <v>5</v>
      </c>
      <c r="D17" t="str">
        <v>Resources</v>
      </c>
      <c r="E17" t="str">
        <v>—</v>
      </c>
      <c r="F17">
        <v>6</v>
      </c>
      <c r="G17">
        <v>1.25</v>
      </c>
      <c r="H17" t="str">
        <v>5% increase in respective resources, per level</v>
      </c>
    </row>
    <row r="18">
      <c r="A18">
        <f>A17+1</f>
        <v>7</v>
      </c>
    </row>
    <row r="19">
      <c r="A19">
        <f>A18+1</f>
        <v>8</v>
      </c>
      <c r="B19" t="str">
        <v>Planning ahead</v>
      </c>
      <c r="C19">
        <v>5</v>
      </c>
      <c r="D19" t="str">
        <v>Resources</v>
      </c>
      <c r="E19" t="str">
        <v>level 3 #1, level 3 #2</v>
      </c>
      <c r="F19">
        <v>2</v>
      </c>
      <c r="G19">
        <v>1.4</v>
      </c>
      <c r="H19" t="str">
        <v>3% increase in storage, per level</v>
      </c>
    </row>
    <row r="20">
      <c r="A20">
        <f>A19+1</f>
        <v>9</v>
      </c>
    </row>
    <row r="21">
      <c r="A21">
        <f>A20+1</f>
        <v>10</v>
      </c>
      <c r="B21" t="str">
        <v>Branch Management</v>
      </c>
      <c r="C21">
        <v>1</v>
      </c>
      <c r="D21" t="str">
        <v>Unlock</v>
      </c>
      <c r="F21">
        <v>6</v>
      </c>
      <c r="G21">
        <v>1</v>
      </c>
      <c r="H21" t="str">
        <v>Unlock branch on map (no passive rate)</v>
      </c>
    </row>
    <row r="22">
      <c r="A22">
        <f>A21+1</f>
        <v>11</v>
      </c>
      <c r="B22" t="str">
        <v>Local guidebook</v>
      </c>
      <c r="C22">
        <v>5</v>
      </c>
      <c r="D22" t="str">
        <v>Time</v>
      </c>
      <c r="E22" t="str">
        <v>—</v>
      </c>
      <c r="F22">
        <v>1</v>
      </c>
      <c r="G22">
        <v>1.65</v>
      </c>
      <c r="H22" t="str">
        <v>−2% travel time, per level, for distance on &lt;5 hex</v>
      </c>
    </row>
    <row r="23">
      <c r="A23">
        <f>A22+1</f>
        <v>12</v>
      </c>
      <c r="B23" t="str">
        <v>Logistics Planning</v>
      </c>
      <c r="C23">
        <v>5</v>
      </c>
      <c r="D23" t="str">
        <v>Time</v>
      </c>
      <c r="F23">
        <v>5</v>
      </c>
      <c r="H23" t="str">
        <v>−1% travel time, per level, for distance on &lt;8 hex</v>
      </c>
    </row>
    <row r="24">
      <c r="A24">
        <f>A23+1</f>
        <v>13</v>
      </c>
    </row>
    <row r="25">
      <c r="A25">
        <f>A24+1</f>
        <v>14</v>
      </c>
      <c r="B25" t="str">
        <v>Job hunting</v>
      </c>
      <c r="C25">
        <v>1</v>
      </c>
      <c r="D25" t="str">
        <v>Unlock</v>
      </c>
      <c r="F25">
        <v>3</v>
      </c>
      <c r="G25">
        <v>1.5</v>
      </c>
      <c r="H25" t="str">
        <v>Allow taking small projects</v>
      </c>
    </row>
    <row r="26">
      <c r="A26">
        <f>A25+1</f>
        <v>15</v>
      </c>
      <c r="B26" t="str">
        <v>Five sticky fingers</v>
      </c>
      <c r="C26">
        <v>5</v>
      </c>
      <c r="D26" t="str">
        <v>Option</v>
      </c>
      <c r="F26">
        <v>4</v>
      </c>
      <c r="G26">
        <v>1.5</v>
      </c>
      <c r="H26" t="str">
        <v xml:space="preserve">Allow the option of Increase in payout of $ and SUP by 5%, 5% chance to decrease CON randomly. Per level, increase payout by  1%, decrease chance of CON decrease by 0.5%. </v>
      </c>
    </row>
    <row r="27">
      <c r="A27">
        <f>A26+1</f>
        <v>16</v>
      </c>
      <c r="B27" t="str">
        <v>Ethic training</v>
      </c>
      <c r="C27">
        <v>5</v>
      </c>
      <c r="D27" t="str">
        <v>Option</v>
      </c>
      <c r="F27">
        <v>5</v>
      </c>
      <c r="G27">
        <v>1.5</v>
      </c>
      <c r="H27" t="str">
        <v>Allow the option of Increase in payout of $ and SUP by 5%, increase project time and mood cost by 10%. Per level, increase payout by 0.5, project time and mood cost decrease by 1%.</v>
      </c>
    </row>
    <row r="28">
      <c r="A28">
        <f>A27+1</f>
        <v>17</v>
      </c>
    </row>
    <row r="29">
      <c r="A29">
        <f>A28+1</f>
        <v>18</v>
      </c>
    </row>
    <row r="30">
      <c r="A30">
        <f>A29+1</f>
        <v>19</v>
      </c>
      <c r="B30" t="str">
        <v>Bid Modeling</v>
      </c>
      <c r="C30">
        <v>5</v>
      </c>
      <c r="D30" t="str">
        <v>Mult</v>
      </c>
      <c r="E30" t="str">
        <v>Efficiency Manuals for CON</v>
      </c>
      <c r="G30">
        <v>1.75</v>
      </c>
      <c r="H30" t="str">
        <v>4% project payout on $ mult per level</v>
      </c>
    </row>
    <row r="31">
      <c r="A31">
        <f>A30+1</f>
        <v>20</v>
      </c>
    </row>
    <row r="32">
      <c r="A32">
        <f>A31+1</f>
        <v>21</v>
      </c>
    </row>
    <row r="33">
      <c r="A33">
        <f>A32+1</f>
        <v>22</v>
      </c>
    </row>
    <row r="34">
      <c r="A34">
        <f>A33+1</f>
        <v>23</v>
      </c>
    </row>
    <row r="35">
      <c r="A35">
        <f>A34+1</f>
        <v>24</v>
      </c>
    </row>
    <row r="36">
      <c r="A36">
        <f>A35+1</f>
        <v>25</v>
      </c>
    </row>
    <row r="37">
      <c r="A37">
        <f>A36+1</f>
        <v>26</v>
      </c>
    </row>
    <row r="38">
      <c r="A38">
        <f>A37+1</f>
        <v>27</v>
      </c>
    </row>
  </sheetData>
  <pageMargins left="0.7" right="0.7" top="0.75" bottom="0.75" header="0.3" footer="0.3"/>
  <ignoredErrors>
    <ignoredError numberStoredAsText="1" sqref="A1:H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0:L38"/>
  <sheetViews>
    <sheetView workbookViewId="0" rightToLeft="0"/>
  </sheetViews>
  <sheetData>
    <row r="10">
      <c r="E10" t="str">
        <v>Starting cost</v>
      </c>
    </row>
    <row r="11">
      <c r="A11" t="str">
        <v>Research #</v>
      </c>
      <c r="B11" t="str">
        <v>Research</v>
      </c>
      <c r="C11" t="str">
        <v>Max Level</v>
      </c>
      <c r="D11" t="str">
        <v>Type</v>
      </c>
      <c r="E11" t="str">
        <v>Time</v>
      </c>
      <c r="F11" t="str">
        <v>$</v>
      </c>
      <c r="G11" t="str">
        <v>SUP</v>
      </c>
      <c r="H11" t="str">
        <v>CON</v>
      </c>
      <c r="I11" t="str">
        <v>MD</v>
      </c>
      <c r="J11" t="str">
        <v>REP</v>
      </c>
      <c r="K11" t="str">
        <v>GREP</v>
      </c>
      <c r="L11" t="str">
        <v>Scale</v>
      </c>
    </row>
    <row r="12">
      <c r="A12">
        <v>1</v>
      </c>
      <c r="B12" t="str">
        <f>IF(VLOOKUP($A12,Research!$A$12:$Z$38,2,1)="","",VLOOKUP($A12,Research!$A$12:$Z$38,2,1))</f>
        <v>Efficiency Manuals for $</v>
      </c>
      <c r="C12">
        <f>IF(VLOOKUP($A12,Research!$A$12:$Z$38,3,1)="","",VLOOKUP($A12,Research!$A$12:$Z$38,3,1))</f>
        <v>5</v>
      </c>
      <c r="D12" t="str">
        <f>IF(VLOOKUP($A12,Research!$A$12:$Z$38,4,1)="","",VLOOKUP($A12,Research!$A$12:$Z$38,4,1))</f>
        <v>Resources</v>
      </c>
      <c r="E12">
        <v>0.001</v>
      </c>
      <c r="F12">
        <v>100</v>
      </c>
      <c r="G12">
        <v>50</v>
      </c>
      <c r="H12">
        <v>10</v>
      </c>
      <c r="L12">
        <v>1.1</v>
      </c>
    </row>
    <row r="13">
      <c r="A13">
        <f>A12+1</f>
        <v>2</v>
      </c>
      <c r="B13" t="str">
        <f>IF(VLOOKUP($A13,Research!$A$12:$Z$38,2,1)="","",VLOOKUP($A13,Research!$A$12:$Z$38,2,1))</f>
        <v>Efficiency Manuals for SUP</v>
      </c>
      <c r="C13">
        <f>IF(VLOOKUP($A13,Research!$A$12:$Z$38,3,1)="","",VLOOKUP($A13,Research!$A$12:$Z$38,3,1))</f>
        <v>5</v>
      </c>
      <c r="D13" t="str">
        <f>IF(VLOOKUP($A13,Research!$A$12:$Z$38,4,1)="","",VLOOKUP($A13,Research!$A$12:$Z$38,4,1))</f>
        <v>Resources</v>
      </c>
      <c r="E13">
        <v>0.001</v>
      </c>
      <c r="F13">
        <v>50</v>
      </c>
      <c r="G13">
        <v>100</v>
      </c>
      <c r="H13">
        <v>5</v>
      </c>
      <c r="L13">
        <v>1.1</v>
      </c>
    </row>
    <row r="14">
      <c r="A14">
        <f>A13+1</f>
        <v>3</v>
      </c>
      <c r="B14" t="str">
        <f>IF(VLOOKUP($A14,Research!$A$12:$Z$38,2,1)="","",VLOOKUP($A14,Research!$A$12:$Z$38,2,1))</f>
        <v>Efficiency Manuals for CON</v>
      </c>
      <c r="C14">
        <f>IF(VLOOKUP($A14,Research!$A$12:$Z$38,3,1)="","",VLOOKUP($A14,Research!$A$12:$Z$38,3,1))</f>
        <v>5</v>
      </c>
      <c r="D14" t="str">
        <f>IF(VLOOKUP($A14,Research!$A$12:$Z$38,4,1)="","",VLOOKUP($A14,Research!$A$12:$Z$38,4,1))</f>
        <v>Resources</v>
      </c>
      <c r="E14">
        <v>0.0015</v>
      </c>
      <c r="F14">
        <v>200</v>
      </c>
      <c r="G14">
        <v>200</v>
      </c>
      <c r="H14">
        <v>50</v>
      </c>
      <c r="L14">
        <v>1.1</v>
      </c>
    </row>
    <row r="15">
      <c r="A15">
        <f>A14+1</f>
        <v>4</v>
      </c>
      <c r="B15" t="str">
        <f>IF(VLOOKUP($A15,Research!$A$12:$Z$38,2,1)="","",VLOOKUP($A15,Research!$A$12:$Z$38,2,1))</f>
        <v>Efficiency Manuals for Mood</v>
      </c>
      <c r="C15">
        <f>IF(VLOOKUP($A15,Research!$A$12:$Z$38,3,1)="","",VLOOKUP($A15,Research!$A$12:$Z$38,3,1))</f>
        <v>5</v>
      </c>
      <c r="D15" t="str">
        <f>IF(VLOOKUP($A15,Research!$A$12:$Z$38,4,1)="","",VLOOKUP($A15,Research!$A$12:$Z$38,4,1))</f>
        <v>Resources</v>
      </c>
      <c r="E15">
        <v>0.0015</v>
      </c>
      <c r="F15">
        <v>200</v>
      </c>
      <c r="G15">
        <v>200</v>
      </c>
      <c r="H15">
        <v>50</v>
      </c>
      <c r="L15">
        <v>1.1</v>
      </c>
    </row>
    <row r="16">
      <c r="A16">
        <f>A15+1</f>
        <v>5</v>
      </c>
      <c r="B16" t="str">
        <f>IF(VLOOKUP($A16,Research!$A$12:$Z$38,2,1)="","",VLOOKUP($A16,Research!$A$12:$Z$38,2,1))</f>
        <v>Efficiency Manuals REP</v>
      </c>
      <c r="C16">
        <f>IF(VLOOKUP($A16,Research!$A$12:$Z$38,3,1)="","",VLOOKUP($A16,Research!$A$12:$Z$38,3,1))</f>
        <v>5</v>
      </c>
      <c r="D16" t="str">
        <f>IF(VLOOKUP($A16,Research!$A$12:$Z$38,4,1)="","",VLOOKUP($A16,Research!$A$12:$Z$38,4,1))</f>
        <v>Resources</v>
      </c>
      <c r="E16">
        <v>0.005</v>
      </c>
      <c r="F16">
        <v>400</v>
      </c>
      <c r="G16">
        <v>400</v>
      </c>
      <c r="H16">
        <v>100</v>
      </c>
      <c r="J16">
        <v>10</v>
      </c>
      <c r="K16">
        <v>10</v>
      </c>
      <c r="L16">
        <v>1.1</v>
      </c>
    </row>
    <row r="17">
      <c r="A17">
        <f>A16+1</f>
        <v>6</v>
      </c>
      <c r="B17" t="str">
        <f>IF(VLOOKUP($A17,Research!$A$12:$Z$38,2,1)="","",VLOOKUP($A17,Research!$A$12:$Z$38,2,1))</f>
        <v>Efficiency Manuals GREP</v>
      </c>
      <c r="C17">
        <f>IF(VLOOKUP($A17,Research!$A$12:$Z$38,3,1)="","",VLOOKUP($A17,Research!$A$12:$Z$38,3,1))</f>
        <v>5</v>
      </c>
      <c r="D17" t="str">
        <f>IF(VLOOKUP($A17,Research!$A$12:$Z$38,4,1)="","",VLOOKUP($A17,Research!$A$12:$Z$38,4,1))</f>
        <v>Resources</v>
      </c>
      <c r="E17">
        <v>0.005</v>
      </c>
      <c r="F17">
        <v>400</v>
      </c>
      <c r="G17">
        <v>400</v>
      </c>
      <c r="H17">
        <v>100</v>
      </c>
      <c r="J17">
        <v>10</v>
      </c>
      <c r="K17">
        <v>10</v>
      </c>
      <c r="L17">
        <v>1.1</v>
      </c>
    </row>
    <row r="18">
      <c r="A18">
        <f>A17+1</f>
        <v>7</v>
      </c>
      <c r="B18" t="str">
        <f>IF(VLOOKUP($A18,Research!$A$12:$Z$38,2,1)="","",VLOOKUP($A18,Research!$A$12:$Z$38,2,1))</f>
        <v/>
      </c>
      <c r="C18" t="str">
        <f>IF(VLOOKUP($A18,Research!$A$12:$Z$38,3,1)="","",VLOOKUP($A18,Research!$A$12:$Z$38,3,1))</f>
        <v/>
      </c>
      <c r="D18" t="str">
        <f>IF(VLOOKUP($A18,Research!$A$12:$Z$38,4,1)="","",VLOOKUP($A18,Research!$A$12:$Z$38,4,1))</f>
        <v/>
      </c>
    </row>
    <row r="19">
      <c r="A19">
        <f>A18+1</f>
        <v>8</v>
      </c>
      <c r="B19" t="str">
        <f>IF(VLOOKUP($A19,Research!$A$12:$Z$38,2,1)="","",VLOOKUP($A19,Research!$A$12:$Z$38,2,1))</f>
        <v>Planning ahead</v>
      </c>
      <c r="C19">
        <f>IF(VLOOKUP($A19,Research!$A$12:$Z$38,3,1)="","",VLOOKUP($A19,Research!$A$12:$Z$38,3,1))</f>
        <v>5</v>
      </c>
      <c r="D19" t="str">
        <f>IF(VLOOKUP($A19,Research!$A$12:$Z$38,4,1)="","",VLOOKUP($A19,Research!$A$12:$Z$38,4,1))</f>
        <v>Resources</v>
      </c>
      <c r="E19">
        <v>0.01</v>
      </c>
      <c r="F19">
        <v>100</v>
      </c>
      <c r="G19">
        <v>50</v>
      </c>
      <c r="H19">
        <v>10</v>
      </c>
      <c r="L19">
        <v>1.1</v>
      </c>
    </row>
    <row r="20">
      <c r="A20">
        <f>A19+1</f>
        <v>9</v>
      </c>
      <c r="B20" t="str">
        <f>IF(VLOOKUP($A20,Research!$A$12:$Z$38,2,1)="","",VLOOKUP($A20,Research!$A$12:$Z$38,2,1))</f>
        <v/>
      </c>
      <c r="C20" t="str">
        <f>IF(VLOOKUP($A20,Research!$A$12:$Z$38,3,1)="","",VLOOKUP($A20,Research!$A$12:$Z$38,3,1))</f>
        <v/>
      </c>
      <c r="D20" t="str">
        <f>IF(VLOOKUP($A20,Research!$A$12:$Z$38,4,1)="","",VLOOKUP($A20,Research!$A$12:$Z$38,4,1))</f>
        <v/>
      </c>
    </row>
    <row r="21">
      <c r="A21">
        <f>A20+1</f>
        <v>10</v>
      </c>
      <c r="B21" t="str">
        <f>IF(VLOOKUP($A21,Research!$A$12:$Z$38,2,1)="","",VLOOKUP($A21,Research!$A$12:$Z$38,2,1))</f>
        <v>Branch Management</v>
      </c>
      <c r="C21">
        <f>IF(VLOOKUP($A21,Research!$A$12:$Z$38,3,1)="","",VLOOKUP($A21,Research!$A$12:$Z$38,3,1))</f>
        <v>1</v>
      </c>
      <c r="D21" t="str">
        <f>IF(VLOOKUP($A21,Research!$A$12:$Z$38,4,1)="","",VLOOKUP($A21,Research!$A$12:$Z$38,4,1))</f>
        <v>Unlock</v>
      </c>
      <c r="E21">
        <v>0.01</v>
      </c>
      <c r="F21">
        <v>200</v>
      </c>
      <c r="G21">
        <v>400</v>
      </c>
      <c r="H21">
        <v>100</v>
      </c>
      <c r="L21">
        <v>1.1</v>
      </c>
    </row>
    <row r="22">
      <c r="A22">
        <f>A21+1</f>
        <v>11</v>
      </c>
      <c r="B22" t="str">
        <f>IF(VLOOKUP($A22,Research!$A$12:$Z$38,2,1)="","",VLOOKUP($A22,Research!$A$12:$Z$38,2,1))</f>
        <v>Local guidebook</v>
      </c>
      <c r="C22">
        <f>IF(VLOOKUP($A22,Research!$A$12:$Z$38,3,1)="","",VLOOKUP($A22,Research!$A$12:$Z$38,3,1))</f>
        <v>5</v>
      </c>
      <c r="D22" t="str">
        <f>IF(VLOOKUP($A22,Research!$A$12:$Z$38,4,1)="","",VLOOKUP($A22,Research!$A$12:$Z$38,4,1))</f>
        <v>Time</v>
      </c>
      <c r="E22">
        <v>0.01</v>
      </c>
      <c r="F22">
        <v>200</v>
      </c>
      <c r="G22">
        <v>400</v>
      </c>
      <c r="H22">
        <v>100</v>
      </c>
      <c r="L22">
        <v>1.1</v>
      </c>
    </row>
    <row r="23">
      <c r="A23">
        <f>A22+1</f>
        <v>12</v>
      </c>
      <c r="B23" t="str">
        <f>IF(VLOOKUP($A23,Research!$A$12:$Z$38,2,1)="","",VLOOKUP($A23,Research!$A$12:$Z$38,2,1))</f>
        <v>Logistics Planning</v>
      </c>
      <c r="C23">
        <f>IF(VLOOKUP($A23,Research!$A$12:$Z$38,3,1)="","",VLOOKUP($A23,Research!$A$12:$Z$38,3,1))</f>
        <v>5</v>
      </c>
      <c r="D23" t="str">
        <f>IF(VLOOKUP($A23,Research!$A$12:$Z$38,4,1)="","",VLOOKUP($A23,Research!$A$12:$Z$38,4,1))</f>
        <v>Time</v>
      </c>
      <c r="E23">
        <v>0.01</v>
      </c>
      <c r="F23">
        <v>200</v>
      </c>
      <c r="G23">
        <v>400</v>
      </c>
      <c r="H23">
        <v>100</v>
      </c>
      <c r="L23">
        <v>1.1</v>
      </c>
    </row>
    <row r="24">
      <c r="A24">
        <f>A23+1</f>
        <v>13</v>
      </c>
      <c r="B24" t="str">
        <f>IF(VLOOKUP($A24,Research!$A$12:$Z$38,2,1)="","",VLOOKUP($A24,Research!$A$12:$Z$38,2,1))</f>
        <v/>
      </c>
      <c r="C24" t="str">
        <f>IF(VLOOKUP($A24,Research!$A$12:$Z$38,3,1)="","",VLOOKUP($A24,Research!$A$12:$Z$38,3,1))</f>
        <v/>
      </c>
      <c r="D24" t="str">
        <f>IF(VLOOKUP($A24,Research!$A$12:$Z$38,4,1)="","",VLOOKUP($A24,Research!$A$12:$Z$38,4,1))</f>
        <v/>
      </c>
    </row>
    <row r="25">
      <c r="A25">
        <f>A24+1</f>
        <v>14</v>
      </c>
      <c r="B25" t="str">
        <f>IF(VLOOKUP($A25,Research!$A$12:$Z$38,2,1)="","",VLOOKUP($A25,Research!$A$12:$Z$38,2,1))</f>
        <v>Job hunting</v>
      </c>
      <c r="C25">
        <f>IF(VLOOKUP($A25,Research!$A$12:$Z$38,3,1)="","",VLOOKUP($A25,Research!$A$12:$Z$38,3,1))</f>
        <v>1</v>
      </c>
      <c r="D25" t="str">
        <f>IF(VLOOKUP($A25,Research!$A$12:$Z$38,4,1)="","",VLOOKUP($A25,Research!$A$12:$Z$38,4,1))</f>
        <v>Unlock</v>
      </c>
      <c r="E25">
        <v>0.025</v>
      </c>
      <c r="F25">
        <v>100</v>
      </c>
      <c r="G25">
        <v>100</v>
      </c>
      <c r="H25">
        <v>100</v>
      </c>
      <c r="L25">
        <v>1.1</v>
      </c>
    </row>
    <row r="26">
      <c r="A26">
        <f>A25+1</f>
        <v>15</v>
      </c>
      <c r="B26" t="str">
        <f>IF(VLOOKUP($A26,Research!$A$12:$Z$38,2,1)="","",VLOOKUP($A26,Research!$A$12:$Z$38,2,1))</f>
        <v>Five sticky fingers</v>
      </c>
      <c r="C26">
        <f>IF(VLOOKUP($A26,Research!$A$12:$Z$38,3,1)="","",VLOOKUP($A26,Research!$A$12:$Z$38,3,1))</f>
        <v>5</v>
      </c>
      <c r="D26" t="str">
        <f>IF(VLOOKUP($A26,Research!$A$12:$Z$38,4,1)="","",VLOOKUP($A26,Research!$A$12:$Z$38,4,1))</f>
        <v>Option</v>
      </c>
      <c r="E26">
        <v>0.035</v>
      </c>
      <c r="F26">
        <v>100</v>
      </c>
      <c r="G26">
        <v>100</v>
      </c>
      <c r="H26">
        <v>100</v>
      </c>
      <c r="J26">
        <v>10</v>
      </c>
      <c r="K26">
        <v>10</v>
      </c>
      <c r="L26">
        <v>1.1</v>
      </c>
    </row>
    <row r="27">
      <c r="A27">
        <f>A26+1</f>
        <v>16</v>
      </c>
      <c r="B27" t="str">
        <f>IF(VLOOKUP($A27,Research!$A$12:$Z$38,2,1)="","",VLOOKUP($A27,Research!$A$12:$Z$38,2,1))</f>
        <v>Ethic training</v>
      </c>
      <c r="C27">
        <f>IF(VLOOKUP($A27,Research!$A$12:$Z$38,3,1)="","",VLOOKUP($A27,Research!$A$12:$Z$38,3,1))</f>
        <v>5</v>
      </c>
      <c r="D27" t="str">
        <f>IF(VLOOKUP($A27,Research!$A$12:$Z$38,4,1)="","",VLOOKUP($A27,Research!$A$12:$Z$38,4,1))</f>
        <v>Option</v>
      </c>
      <c r="E27">
        <v>0.035</v>
      </c>
      <c r="F27">
        <v>100</v>
      </c>
      <c r="G27">
        <v>100</v>
      </c>
      <c r="H27">
        <v>100</v>
      </c>
      <c r="J27">
        <v>10</v>
      </c>
      <c r="K27">
        <v>10</v>
      </c>
      <c r="L27">
        <v>1.1</v>
      </c>
    </row>
    <row r="28">
      <c r="A28">
        <f>A27+1</f>
        <v>17</v>
      </c>
      <c r="B28" t="str">
        <f>IF(VLOOKUP($A28,Research!$A$12:$Z$38,2,1)="","",VLOOKUP($A28,Research!$A$12:$Z$38,2,1))</f>
        <v/>
      </c>
      <c r="C28" t="str">
        <f>IF(VLOOKUP($A28,Research!$A$12:$Z$38,3,1)="","",VLOOKUP($A28,Research!$A$12:$Z$38,3,1))</f>
        <v/>
      </c>
      <c r="D28" t="str">
        <f>IF(VLOOKUP($A28,Research!$A$12:$Z$38,4,1)="","",VLOOKUP($A28,Research!$A$12:$Z$38,4,1))</f>
        <v/>
      </c>
    </row>
    <row r="29">
      <c r="A29">
        <f>A28+1</f>
        <v>18</v>
      </c>
      <c r="B29" t="str">
        <f>IF(VLOOKUP($A29,Research!$A$12:$Z$38,2,1)="","",VLOOKUP($A29,Research!$A$12:$Z$38,2,1))</f>
        <v/>
      </c>
      <c r="C29" t="str">
        <f>IF(VLOOKUP($A29,Research!$A$12:$Z$38,3,1)="","",VLOOKUP($A29,Research!$A$12:$Z$38,3,1))</f>
        <v/>
      </c>
      <c r="D29" t="str">
        <f>IF(VLOOKUP($A29,Research!$A$12:$Z$38,4,1)="","",VLOOKUP($A29,Research!$A$12:$Z$38,4,1))</f>
        <v/>
      </c>
    </row>
    <row r="30">
      <c r="A30">
        <f>A29+1</f>
        <v>19</v>
      </c>
      <c r="B30" t="str">
        <f>IF(VLOOKUP($A30,Research!$A$12:$Z$38,2,1)="","",VLOOKUP($A30,Research!$A$12:$Z$38,2,1))</f>
        <v>Bid Modeling</v>
      </c>
      <c r="C30">
        <f>IF(VLOOKUP($A30,Research!$A$12:$Z$38,3,1)="","",VLOOKUP($A30,Research!$A$12:$Z$38,3,1))</f>
        <v>5</v>
      </c>
      <c r="D30" t="str">
        <f>IF(VLOOKUP($A30,Research!$A$12:$Z$38,4,1)="","",VLOOKUP($A30,Research!$A$12:$Z$38,4,1))</f>
        <v>Mult</v>
      </c>
      <c r="E30">
        <v>0.035</v>
      </c>
      <c r="F30">
        <v>100</v>
      </c>
      <c r="G30">
        <v>100</v>
      </c>
      <c r="H30">
        <v>100</v>
      </c>
      <c r="L30">
        <v>1.1</v>
      </c>
    </row>
    <row r="31">
      <c r="A31">
        <f>A30+1</f>
        <v>20</v>
      </c>
      <c r="B31" t="str">
        <f>IF(VLOOKUP($A31,Research!$A$12:$Z$38,2,1)="","",VLOOKUP($A31,Research!$A$12:$Z$38,2,1))</f>
        <v/>
      </c>
      <c r="C31" t="str">
        <f>IF(VLOOKUP($A31,Research!$A$12:$Z$38,3,1)="","",VLOOKUP($A31,Research!$A$12:$Z$38,3,1))</f>
        <v/>
      </c>
      <c r="D31" t="str">
        <f>IF(VLOOKUP($A31,Research!$A$12:$Z$38,4,1)="","",VLOOKUP($A31,Research!$A$12:$Z$38,4,1))</f>
        <v/>
      </c>
    </row>
    <row r="32">
      <c r="A32">
        <f>A31+1</f>
        <v>21</v>
      </c>
      <c r="B32" t="str">
        <f>IF(VLOOKUP($A32,Research!$A$12:$Z$38,2,1)="","",VLOOKUP($A32,Research!$A$12:$Z$38,2,1))</f>
        <v/>
      </c>
      <c r="C32" t="str">
        <f>IF(VLOOKUP($A32,Research!$A$12:$Z$38,3,1)="","",VLOOKUP($A32,Research!$A$12:$Z$38,3,1))</f>
        <v/>
      </c>
      <c r="D32" t="str">
        <f>IF(VLOOKUP($A32,Research!$A$12:$Z$38,4,1)="","",VLOOKUP($A32,Research!$A$12:$Z$38,4,1))</f>
        <v/>
      </c>
    </row>
    <row r="33">
      <c r="A33">
        <f>A32+1</f>
        <v>22</v>
      </c>
      <c r="B33" t="str">
        <f>IF(VLOOKUP($A33,Research!$A$12:$Z$38,2,1)="","",VLOOKUP($A33,Research!$A$12:$Z$38,2,1))</f>
        <v/>
      </c>
      <c r="C33" t="str">
        <f>IF(VLOOKUP($A33,Research!$A$12:$Z$38,3,1)="","",VLOOKUP($A33,Research!$A$12:$Z$38,3,1))</f>
        <v/>
      </c>
      <c r="D33" t="str">
        <f>IF(VLOOKUP($A33,Research!$A$12:$Z$38,4,1)="","",VLOOKUP($A33,Research!$A$12:$Z$38,4,1))</f>
        <v/>
      </c>
    </row>
    <row r="34">
      <c r="A34">
        <f>A33+1</f>
        <v>23</v>
      </c>
      <c r="B34" t="str">
        <f>IF(VLOOKUP($A34,Research!$A$12:$Z$38,2,1)="","",VLOOKUP($A34,Research!$A$12:$Z$38,2,1))</f>
        <v/>
      </c>
      <c r="C34" t="str">
        <f>IF(VLOOKUP($A34,Research!$A$12:$Z$38,3,1)="","",VLOOKUP($A34,Research!$A$12:$Z$38,3,1))</f>
        <v/>
      </c>
      <c r="D34" t="str">
        <f>IF(VLOOKUP($A34,Research!$A$12:$Z$38,4,1)="","",VLOOKUP($A34,Research!$A$12:$Z$38,4,1))</f>
        <v/>
      </c>
    </row>
    <row r="35">
      <c r="A35">
        <f>A34+1</f>
        <v>24</v>
      </c>
      <c r="B35" t="str">
        <f>IF(VLOOKUP($A35,Research!$A$12:$Z$38,2,1)="","",VLOOKUP($A35,Research!$A$12:$Z$38,2,1))</f>
        <v/>
      </c>
      <c r="C35" t="str">
        <f>IF(VLOOKUP($A35,Research!$A$12:$Z$38,3,1)="","",VLOOKUP($A35,Research!$A$12:$Z$38,3,1))</f>
        <v/>
      </c>
      <c r="D35" t="str">
        <f>IF(VLOOKUP($A35,Research!$A$12:$Z$38,4,1)="","",VLOOKUP($A35,Research!$A$12:$Z$38,4,1))</f>
        <v/>
      </c>
    </row>
    <row r="36">
      <c r="A36">
        <f>A35+1</f>
        <v>25</v>
      </c>
      <c r="B36" t="str">
        <f>IF(VLOOKUP($A36,Research!$A$12:$Z$38,2,1)="","",VLOOKUP($A36,Research!$A$12:$Z$38,2,1))</f>
        <v/>
      </c>
      <c r="C36" t="str">
        <f>IF(VLOOKUP($A36,Research!$A$12:$Z$38,3,1)="","",VLOOKUP($A36,Research!$A$12:$Z$38,3,1))</f>
        <v/>
      </c>
      <c r="D36" t="str">
        <f>IF(VLOOKUP($A36,Research!$A$12:$Z$38,4,1)="","",VLOOKUP($A36,Research!$A$12:$Z$38,4,1))</f>
        <v/>
      </c>
    </row>
    <row r="37">
      <c r="A37">
        <f>A36+1</f>
        <v>26</v>
      </c>
      <c r="B37" t="str">
        <f>IF(VLOOKUP($A37,Research!$A$12:$Z$38,2,1)="","",VLOOKUP($A37,Research!$A$12:$Z$38,2,1))</f>
        <v/>
      </c>
      <c r="C37" t="str">
        <f>IF(VLOOKUP($A37,Research!$A$12:$Z$38,3,1)="","",VLOOKUP($A37,Research!$A$12:$Z$38,3,1))</f>
        <v/>
      </c>
      <c r="D37" t="str">
        <f>IF(VLOOKUP($A37,Research!$A$12:$Z$38,4,1)="","",VLOOKUP($A37,Research!$A$12:$Z$38,4,1))</f>
        <v/>
      </c>
    </row>
    <row r="38">
      <c r="A38">
        <f>A37+1</f>
        <v>27</v>
      </c>
      <c r="B38" t="str">
        <f>IF(VLOOKUP($A38,Research!$A$12:$Z$38,2,1)="","",VLOOKUP($A38,Research!$A$12:$Z$38,2,1))</f>
        <v/>
      </c>
      <c r="C38" t="str">
        <f>IF(VLOOKUP($A38,Research!$A$12:$Z$38,3,1)="","",VLOOKUP($A38,Research!$A$12:$Z$38,3,1))</f>
        <v/>
      </c>
      <c r="D38" t="str">
        <f>IF(VLOOKUP($A38,Research!$A$12:$Z$38,4,1)="","",VLOOKUP($A38,Research!$A$12:$Z$38,4,1))</f>
        <v/>
      </c>
    </row>
  </sheetData>
  <pageMargins left="0.7" right="0.7" top="0.75" bottom="0.75" header="0.3" footer="0.3"/>
  <ignoredErrors>
    <ignoredError numberStoredAsText="1" sqref="A10:L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Name</v>
      </c>
      <c r="B1" t="str">
        <v>Type</v>
      </c>
      <c r="C1" t="str">
        <v>Flat Cost per Hire</v>
      </c>
      <c r="D1" t="str">
        <v>Notes</v>
      </c>
    </row>
    <row r="2">
      <c r="A2" t="str">
        <v>High school Grad</v>
      </c>
      <c r="B2" t="str">
        <v>Resource Farming</v>
      </c>
      <c r="C2" t="str">
        <v>$70 cash, 1 rep</v>
      </c>
      <c r="D2" t="str">
        <v>Tower CONtracts; batch = cost × count</v>
      </c>
    </row>
    <row r="3">
      <c r="A3" t="str">
        <v>Security guard</v>
      </c>
      <c r="B3" t="str">
        <v>Protection / Defense</v>
      </c>
      <c r="C3" t="str">
        <v>$95 cash, 5 power @ site</v>
      </c>
      <c r="D3" t="str">
        <v>Phase 2 espionage defense</v>
      </c>
    </row>
    <row r="4">
      <c r="A4" t="str">
        <v>Internet surfer</v>
      </c>
      <c r="B4" t="str">
        <v>Intel Gathering</v>
      </c>
      <c r="C4" t="str">
        <v>$110 cash, 4 CONnection</v>
      </c>
      <c r="D4" t="str">
        <v>Unlocks tower projects by intel requirement</v>
      </c>
    </row>
    <row r="5">
      <c r="A5" t="str">
        <v>Janitor</v>
      </c>
      <c r="B5" t="str">
        <v>Support Units</v>
      </c>
      <c r="C5" t="str">
        <v>$60 cash, 1 rep</v>
      </c>
      <c r="D5" t="str">
        <v>Faster jobs + payout bonus with farming crew</v>
      </c>
    </row>
  </sheetData>
  <pageMargins left="0.7" right="0.7" top="0.75" bottom="0.75" header="0.3" footer="0.3"/>
  <ignoredErrors>
    <ignoredError numberStoredAsText="1" sqref="A1:D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Action</v>
      </c>
      <c r="B1" t="str">
        <v>Cost</v>
      </c>
      <c r="C1" t="str">
        <v>Notes</v>
      </c>
    </row>
    <row r="2">
      <c r="A2" t="str">
        <v>Open branch</v>
      </c>
      <c r="B2" t="str">
        <v>$650 cash, 15 CONnection, 8 rep, 25 power @ HQ</v>
      </c>
      <c r="C2" t="str">
        <v>Requires Branch Management + commercial lot</v>
      </c>
    </row>
    <row r="3">
      <c r="A3" t="str">
        <v>Accept tower CONtract</v>
      </c>
      <c r="B3" t="str">
        <v>Project min bid + 2 CONnection fee</v>
      </c>
      <c r="C3" t="str">
        <v>Plus farming crew deployed; power from selected office</v>
      </c>
    </row>
  </sheetData>
  <pageMargins left="0.7" right="0.7" top="0.75" bottom="0.75" header="0.3" footer="0.3"/>
  <ignoredErrors>
    <ignoredError numberStoredAsText="1" sqref="A1:C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Tower</v>
      </c>
      <c r="B1" t="str">
        <v>Project</v>
      </c>
      <c r="C1" t="str">
        <v>Duration (s)</v>
      </c>
      <c r="D1" t="str">
        <v>Min Bid</v>
      </c>
      <c r="E1" t="str">
        <v>Total Payout</v>
      </c>
      <c r="F1" t="str">
        <v>Intel Req</v>
      </c>
      <c r="G1" t="str">
        <v>Rep on Complete</v>
      </c>
    </row>
    <row r="2">
      <c r="A2" t="str">
        <v>Central Exchange</v>
      </c>
      <c r="B2" t="str">
        <v>Lobby modernization</v>
      </c>
      <c r="C2">
        <v>60</v>
      </c>
      <c r="D2" t="str">
        <v>$80 cash, 20 power</v>
      </c>
      <c r="E2" t="str">
        <v>$320 cash, 5 rep, 4 CONnection</v>
      </c>
      <c r="F2">
        <v>0</v>
      </c>
      <c r="G2">
        <v>5</v>
      </c>
    </row>
    <row r="3">
      <c r="A3" t="str">
        <v>Central Exchange</v>
      </c>
      <c r="B3" t="str">
        <v>In-building data suite</v>
      </c>
      <c r="C3">
        <v>120</v>
      </c>
      <c r="D3" t="str">
        <v>$200 cash, 45 power, 5 CONnection</v>
      </c>
      <c r="E3" t="str">
        <v>$580 cash, 18 CONnection, 8 rep</v>
      </c>
      <c r="F3">
        <v>2</v>
      </c>
      <c r="G3">
        <v>8</v>
      </c>
    </row>
    <row r="4">
      <c r="A4" t="str">
        <v>Parkview</v>
      </c>
      <c r="B4" t="str">
        <v>Anchor tenant build-out</v>
      </c>
      <c r="C4">
        <v>75</v>
      </c>
      <c r="D4" t="str">
        <v>$55 cash, 18 power</v>
      </c>
      <c r="E4" t="str">
        <v>$210 cash, 4 rep</v>
      </c>
      <c r="F4">
        <v>0</v>
      </c>
      <c r="G4">
        <v>4</v>
      </c>
    </row>
    <row r="5">
      <c r="A5" t="str">
        <v>Parkview</v>
      </c>
      <c r="B5" t="str">
        <v>Flex office expansion</v>
      </c>
      <c r="C5">
        <v>90</v>
      </c>
      <c r="D5" t="str">
        <v>$90 cash, 25 power, 2 rep</v>
      </c>
      <c r="E5" t="str">
        <v>$340 cash, 6 rep, 1 gov rep</v>
      </c>
      <c r="F5">
        <v>1</v>
      </c>
      <c r="G5">
        <v>6</v>
      </c>
    </row>
    <row r="6">
      <c r="A6" t="str">
        <v>Crossroads</v>
      </c>
      <c r="B6" t="str">
        <v>Warehouse shell</v>
      </c>
      <c r="C6">
        <v>50</v>
      </c>
      <c r="D6" t="str">
        <v>$35 cash, 12 power</v>
      </c>
      <c r="E6" t="str">
        <v>$140 cash, 3 rep</v>
      </c>
      <c r="F6">
        <v>0</v>
      </c>
      <c r="G6">
        <v>3</v>
      </c>
    </row>
    <row r="7">
      <c r="A7" t="str">
        <v>Crossroads</v>
      </c>
      <c r="B7" t="str">
        <v>Clinic fit-out</v>
      </c>
      <c r="C7">
        <v>70</v>
      </c>
      <c r="D7" t="str">
        <v>$50 cash, 15 power, 1 rep</v>
      </c>
      <c r="E7" t="str">
        <v>$195 cash, 4 rep, 2 gov rep</v>
      </c>
      <c r="F7">
        <v>1</v>
      </c>
      <c r="G7">
        <v>4</v>
      </c>
    </row>
    <row r="8">
      <c r="A8" t="str">
        <v>Hillside</v>
      </c>
      <c r="B8" t="str">
        <v>CONference wing</v>
      </c>
      <c r="C8">
        <v>65</v>
      </c>
      <c r="D8" t="str">
        <v>$45 cash, 14 power</v>
      </c>
      <c r="E8" t="str">
        <v>$175 cash, 5 rep</v>
      </c>
      <c r="F8">
        <v>0</v>
      </c>
      <c r="G8">
        <v>5</v>
      </c>
    </row>
    <row r="9">
      <c r="A9" t="str">
        <v>Hillside</v>
      </c>
      <c r="B9" t="str">
        <v>Rooftop solar install</v>
      </c>
      <c r="C9">
        <v>100</v>
      </c>
      <c r="D9" t="str">
        <v>$110 cash, 30 power, 3 rep</v>
      </c>
      <c r="E9" t="str">
        <v>$390 cash, 7 rep, 2 gov rep</v>
      </c>
      <c r="F9">
        <v>1</v>
      </c>
      <c r="G9">
        <v>7</v>
      </c>
    </row>
  </sheetData>
  <pageMargins left="0.7" right="0.7" top="0.75" bottom="0.75" header="0.3" footer="0.3"/>
  <ignoredErrors>
    <ignoredError numberStoredAsText="1" sqref="A1:G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Component</v>
      </c>
      <c r="B1" t="str">
        <v>Weight</v>
      </c>
    </row>
    <row r="2">
      <c r="A2" t="str">
        <v>Cash</v>
      </c>
      <c r="B2" t="str">
        <v>1×</v>
      </c>
    </row>
    <row r="3">
      <c r="A3" t="str">
        <v>Total power capacity (all sites)</v>
      </c>
      <c r="B3" t="str">
        <v>2× per point</v>
      </c>
    </row>
    <row r="4">
      <c r="A4" t="str">
        <v>Connection</v>
      </c>
      <c r="B4">
        <v>0</v>
      </c>
    </row>
    <row r="5">
      <c r="A5" t="str">
        <v>Reputation</v>
      </c>
      <c r="B5" t="str">
        <v>5×</v>
      </c>
    </row>
    <row r="6">
      <c r="A6" t="str">
        <v>Gov reputation</v>
      </c>
      <c r="B6" t="str">
        <v>10×</v>
      </c>
    </row>
    <row r="7">
      <c r="A7" t="str">
        <v>Win Condition</v>
      </c>
      <c r="B7" t="str">
        <v>$100,000,000 net worth</v>
      </c>
    </row>
  </sheetData>
  <pageMargins left="0.7" right="0.7" top="0.75" bottom="0.75" header="0.3" footer="0.3"/>
  <ignoredErrors>
    <ignoredError numberStoredAsText="1" sqref="A1:B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sheetData>
    <row r="1">
      <c r="A1" t="str">
        <v>Phase A — engine placeholders (synced from src/game/phaseA.ts)</v>
      </c>
    </row>
    <row r="2">
      <c r="A2" t="str">
        <v>Passive rates are per hour; tick adds rate × (Δt seconds / 3600).</v>
      </c>
    </row>
    <row r="3">
      <c r="A3" t="str">
        <v>Net worth: Cash 1×, Supply 1×, Connection 0×, REP 5×, GREP 10×, power capacity 2×/pt</v>
      </c>
    </row>
    <row r="4">
      <c r="A4" t="str">
        <v>HQ start: space 20, power 30, all listed structures level 1</v>
      </c>
    </row>
    <row r="6">
      <c r="A6" t="str">
        <v>Structure ID</v>
      </c>
      <c r="B6" t="str">
        <v>Name</v>
      </c>
      <c r="C6" t="str">
        <v>Max Lvl</v>
      </c>
      <c r="D6" t="str">
        <v>Upgrade cost note</v>
      </c>
      <c r="E6" t="str">
        <v>Cost scale</v>
      </c>
      <c r="F6" t="str">
        <v>Cash /hr per lvl</v>
      </c>
      <c r="G6" t="str">
        <v>SUP /hr per lvl</v>
      </c>
      <c r="H6" t="str">
        <v>CON /hr per lvl</v>
      </c>
      <c r="I6" t="str">
        <v>Mood /hr per lvl</v>
      </c>
      <c r="J6" t="str">
        <v>Office slots (if built)</v>
      </c>
      <c r="K6" t="str">
        <v>Office space /lvl</v>
      </c>
      <c r="L6" t="str">
        <v>Power /lvl</v>
      </c>
    </row>
    <row r="7">
      <c r="A7" t="str">
        <v>office_desk</v>
      </c>
      <c r="B7" t="str">
        <v>Office desk</v>
      </c>
      <c r="C7">
        <v>20</v>
      </c>
      <c r="D7" t="str">
        <v>L2 ref: 12.5 cash, 6.25 SUP</v>
      </c>
      <c r="E7">
        <v>1.1</v>
      </c>
      <c r="F7">
        <v>200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</row>
    <row r="8">
      <c r="A8" t="str">
        <v>bank_account</v>
      </c>
      <c r="B8" t="str">
        <v>Bank account</v>
      </c>
      <c r="C8">
        <v>20</v>
      </c>
      <c r="D8" t="str">
        <v>L2 ref: 100 cash, 50 SUP</v>
      </c>
      <c r="E8">
        <v>1.6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</row>
    <row r="9">
      <c r="A9" t="str">
        <v>office_supply</v>
      </c>
      <c r="B9" t="str">
        <v>Office supply</v>
      </c>
      <c r="C9">
        <v>20</v>
      </c>
      <c r="D9" t="str">
        <v>TBD from sheet</v>
      </c>
      <c r="E9">
        <v>1.6</v>
      </c>
      <c r="F9">
        <v>0</v>
      </c>
      <c r="G9">
        <v>40</v>
      </c>
      <c r="H9">
        <v>0</v>
      </c>
      <c r="I9">
        <v>0</v>
      </c>
      <c r="J9">
        <v>1</v>
      </c>
      <c r="K9">
        <v>0</v>
      </c>
      <c r="L9">
        <v>0</v>
      </c>
    </row>
    <row r="10">
      <c r="A10" t="str">
        <v>storage_room</v>
      </c>
      <c r="B10" t="str">
        <v>Storage Room</v>
      </c>
      <c r="C10">
        <v>20</v>
      </c>
      <c r="D10" t="str">
        <v>TBD from sheet</v>
      </c>
      <c r="E10">
        <v>1.6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</row>
    <row r="11">
      <c r="A11" t="str">
        <v>dept_b2b</v>
      </c>
      <c r="B11" t="str">
        <v>Department of B2B</v>
      </c>
      <c r="C11">
        <v>20</v>
      </c>
      <c r="D11" t="str">
        <v>PLACEHOLDER</v>
      </c>
      <c r="E11">
        <v>1.5</v>
      </c>
      <c r="F11">
        <v>0</v>
      </c>
      <c r="G11">
        <v>0</v>
      </c>
      <c r="H11">
        <v>15</v>
      </c>
      <c r="I11">
        <v>0</v>
      </c>
      <c r="J11">
        <v>1</v>
      </c>
      <c r="K11">
        <v>0</v>
      </c>
      <c r="L11">
        <v>0</v>
      </c>
    </row>
    <row r="12">
      <c r="A12" t="str">
        <v>break_room</v>
      </c>
      <c r="B12" t="str">
        <v>Break room</v>
      </c>
      <c r="C12">
        <v>20</v>
      </c>
      <c r="D12" t="str">
        <v>PLACEHOLDER</v>
      </c>
      <c r="E12">
        <v>1.5</v>
      </c>
      <c r="F12">
        <v>0</v>
      </c>
      <c r="G12">
        <v>0</v>
      </c>
      <c r="H12">
        <v>0</v>
      </c>
      <c r="I12">
        <v>25</v>
      </c>
      <c r="J12">
        <v>1</v>
      </c>
      <c r="K12">
        <v>0</v>
      </c>
      <c r="L12">
        <v>0</v>
      </c>
    </row>
    <row r="13">
      <c r="A13" t="str">
        <v>social_media</v>
      </c>
      <c r="B13" t="str">
        <v>Social Media</v>
      </c>
      <c r="C13">
        <v>20</v>
      </c>
      <c r="D13" t="str">
        <v>PLACEHOLDER</v>
      </c>
      <c r="E13">
        <v>1.5</v>
      </c>
      <c r="F13">
        <v>0</v>
      </c>
      <c r="G13">
        <v>0</v>
      </c>
      <c r="H13">
        <v>8</v>
      </c>
      <c r="I13">
        <v>5</v>
      </c>
      <c r="J13">
        <v>1</v>
      </c>
      <c r="K13">
        <v>0</v>
      </c>
      <c r="L13">
        <v>0</v>
      </c>
    </row>
    <row r="14">
      <c r="A14" t="str">
        <v>office_expansion</v>
      </c>
      <c r="B14" t="str">
        <v>Office Expansion</v>
      </c>
      <c r="C14">
        <v>20</v>
      </c>
      <c r="D14" t="str">
        <v>PLACEHOLDER</v>
      </c>
      <c r="E14">
        <v>1.55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power_panel</v>
      </c>
      <c r="B15" t="str">
        <v>Power Panel</v>
      </c>
      <c r="C15">
        <v>20</v>
      </c>
      <c r="D15" t="str">
        <v>PLACEHOLDER</v>
      </c>
      <c r="E15">
        <v>1.8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</row>
    <row r="16">
      <c r="A16" t="str">
        <v>recruitment_desk</v>
      </c>
      <c r="B16" t="str">
        <v>Recruitment Desk</v>
      </c>
      <c r="C16">
        <v>10</v>
      </c>
      <c r="D16" t="str">
        <v>PLACEHOLDER</v>
      </c>
      <c r="E16">
        <v>1.65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</row>
    <row r="18">
      <c r="A18" t="str">
        <v>Starting wallet (Phase A)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cash</v>
      </c>
      <c r="B19">
        <v>5000</v>
      </c>
    </row>
    <row r="20">
      <c r="A20" t="str">
        <v>supply</v>
      </c>
      <c r="B20">
        <v>200</v>
      </c>
    </row>
    <row r="21">
      <c r="A21" t="str">
        <v>connection</v>
      </c>
      <c r="B21">
        <v>200</v>
      </c>
    </row>
    <row r="22">
      <c r="A22" t="str">
        <v>mood</v>
      </c>
      <c r="B22">
        <v>100</v>
      </c>
    </row>
    <row r="23">
      <c r="A23" t="str">
        <v>reputation</v>
      </c>
      <c r="B23">
        <v>0</v>
      </c>
    </row>
    <row r="24">
      <c r="A24" t="str">
        <v>govReputation</v>
      </c>
      <c r="B24">
        <v>0</v>
      </c>
    </row>
  </sheetData>
  <pageMargins left="0.7" right="0.7" top="0.75" bottom="0.75" header="0.3" footer="0.3"/>
  <ignoredErrors>
    <ignoredError numberStoredAsText="1" sqref="A1:L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204"/>
  <sheetViews>
    <sheetView workbookViewId="0" rightToLeft="0"/>
  </sheetViews>
  <sheetData>
    <row r="1">
      <c r="A1" t="str">
        <v>Structure Build Times (engine) — synced from column C, Cost - Time</v>
      </c>
    </row>
    <row r="2">
      <c r="A2" t="str">
        <v>Column C uses Excel time format (fraction of day). Engine: real seconds = C × 86,400; hours = C × 24.</v>
      </c>
    </row>
    <row r="3">
      <c r="A3" t="str">
        <v>Levels 2–20: upgrade TO that level. Level 1 = starting tier (time 0).</v>
      </c>
    </row>
    <row r="5">
      <c r="A5" t="str">
        <v>Structure</v>
      </c>
      <c r="B5" t="str">
        <v>Level</v>
      </c>
      <c r="C5" t="str">
        <v>Cost - Time (Excel)</v>
      </c>
      <c r="D5" t="str">
        <v>Scale</v>
      </c>
      <c r="E5" t="str">
        <v>Real seconds (C×86400)</v>
      </c>
      <c r="F5" t="str">
        <v>Build hours (C×24)</v>
      </c>
      <c r="G5" t="str">
        <v>Source</v>
      </c>
      <c r="H5" t="str">
        <v>Cash</v>
      </c>
      <c r="I5" t="str">
        <v>SUP</v>
      </c>
      <c r="J5" t="str">
        <v>CON</v>
      </c>
      <c r="K5" t="str">
        <v>Electricity</v>
      </c>
      <c r="L5" t="str">
        <v>Effect (total at level)</v>
      </c>
    </row>
    <row r="6">
      <c r="A6" t="str">
        <v>Office desk</v>
      </c>
      <c r="B6">
        <v>1</v>
      </c>
      <c r="C6">
        <v>0</v>
      </c>
      <c r="D6">
        <v>1</v>
      </c>
      <c r="E6">
        <v>0</v>
      </c>
      <c r="F6">
        <v>0</v>
      </c>
      <c r="G6" t="str">
        <v>Sheet column C</v>
      </c>
      <c r="H6">
        <v>0</v>
      </c>
      <c r="I6">
        <v>0</v>
      </c>
      <c r="J6">
        <v>0</v>
      </c>
      <c r="K6">
        <v>5</v>
      </c>
      <c r="L6">
        <v>200</v>
      </c>
    </row>
    <row r="7">
      <c r="A7" t="str">
        <v/>
      </c>
      <c r="B7">
        <v>2</v>
      </c>
      <c r="C7">
        <v>0.001</v>
      </c>
      <c r="D7">
        <v>1</v>
      </c>
      <c r="E7">
        <v>86.4</v>
      </c>
      <c r="F7">
        <v>0.024</v>
      </c>
      <c r="G7" t="str">
        <v>Sheet column C</v>
      </c>
      <c r="H7">
        <v>0</v>
      </c>
      <c r="I7">
        <v>0</v>
      </c>
      <c r="J7">
        <v>0</v>
      </c>
      <c r="K7">
        <v>6</v>
      </c>
      <c r="L7">
        <v>250</v>
      </c>
    </row>
    <row r="8">
      <c r="A8" t="str">
        <v/>
      </c>
      <c r="B8">
        <v>3</v>
      </c>
      <c r="C8">
        <v>0.0011</v>
      </c>
      <c r="D8">
        <v>1.1</v>
      </c>
      <c r="E8">
        <v>95.04</v>
      </c>
      <c r="F8">
        <v>0.0264</v>
      </c>
      <c r="G8" t="str">
        <v>Sheet column C</v>
      </c>
      <c r="H8">
        <v>0</v>
      </c>
      <c r="I8">
        <v>0</v>
      </c>
      <c r="J8">
        <v>0</v>
      </c>
      <c r="K8">
        <v>8</v>
      </c>
      <c r="L8">
        <v>312.5</v>
      </c>
    </row>
    <row r="9">
      <c r="A9" t="str">
        <v/>
      </c>
      <c r="B9">
        <v>4</v>
      </c>
      <c r="C9">
        <v>0.0012100000000000001</v>
      </c>
      <c r="D9">
        <v>1.1</v>
      </c>
      <c r="E9">
        <v>104.54400000000001</v>
      </c>
      <c r="F9">
        <v>0.029040000000000003</v>
      </c>
      <c r="G9" t="str">
        <v>Sheet column C</v>
      </c>
      <c r="H9">
        <v>0</v>
      </c>
      <c r="I9">
        <v>0</v>
      </c>
      <c r="J9">
        <v>0</v>
      </c>
      <c r="K9">
        <v>10</v>
      </c>
      <c r="L9">
        <v>390.625</v>
      </c>
    </row>
    <row r="10">
      <c r="A10" t="str">
        <v/>
      </c>
      <c r="B10">
        <v>5</v>
      </c>
      <c r="C10">
        <v>0.006050000000000001</v>
      </c>
      <c r="D10">
        <v>5</v>
      </c>
      <c r="E10">
        <v>522.72</v>
      </c>
      <c r="F10">
        <v>0.14520000000000002</v>
      </c>
      <c r="G10" t="str">
        <v>Sheet column C</v>
      </c>
      <c r="H10">
        <v>0</v>
      </c>
      <c r="I10">
        <v>0</v>
      </c>
      <c r="J10">
        <v>0</v>
      </c>
      <c r="K10">
        <v>20</v>
      </c>
      <c r="L10">
        <v>781.25</v>
      </c>
    </row>
    <row r="11">
      <c r="A11" t="str">
        <v/>
      </c>
      <c r="B11">
        <v>6</v>
      </c>
      <c r="C11">
        <v>0.007260000000000001</v>
      </c>
      <c r="D11">
        <v>1.2</v>
      </c>
      <c r="E11">
        <v>627.2640000000001</v>
      </c>
      <c r="F11">
        <v>0.17424</v>
      </c>
      <c r="G11" t="str">
        <v>Sheet column C</v>
      </c>
      <c r="H11">
        <v>0</v>
      </c>
      <c r="I11">
        <v>0</v>
      </c>
      <c r="J11">
        <v>0</v>
      </c>
      <c r="K11">
        <v>22</v>
      </c>
      <c r="L11">
        <v>976.5625</v>
      </c>
    </row>
    <row r="12">
      <c r="A12" t="str">
        <v/>
      </c>
      <c r="B12">
        <v>7</v>
      </c>
      <c r="C12">
        <v>0.008712000000000001</v>
      </c>
      <c r="D12">
        <v>1.2</v>
      </c>
      <c r="E12">
        <v>752.7168</v>
      </c>
      <c r="F12">
        <v>0.20908800000000002</v>
      </c>
      <c r="G12" t="str">
        <v>Sheet column C</v>
      </c>
      <c r="H12">
        <v>0</v>
      </c>
      <c r="I12">
        <v>0</v>
      </c>
      <c r="J12">
        <v>0</v>
      </c>
      <c r="K12">
        <v>25</v>
      </c>
      <c r="L12">
        <v>1220.703125</v>
      </c>
    </row>
    <row r="13">
      <c r="A13" t="str">
        <v/>
      </c>
      <c r="B13">
        <v>8</v>
      </c>
      <c r="C13">
        <v>0.0104544</v>
      </c>
      <c r="D13">
        <v>1.2</v>
      </c>
      <c r="E13">
        <v>903.26016</v>
      </c>
      <c r="F13">
        <v>0.2509056</v>
      </c>
      <c r="G13" t="str">
        <v>Sheet column C</v>
      </c>
      <c r="H13">
        <v>0</v>
      </c>
      <c r="I13">
        <v>0</v>
      </c>
      <c r="J13">
        <v>0</v>
      </c>
      <c r="K13">
        <v>28</v>
      </c>
      <c r="L13">
        <v>1525.87890625</v>
      </c>
    </row>
    <row r="14">
      <c r="A14" t="str">
        <v/>
      </c>
      <c r="B14">
        <v>9</v>
      </c>
      <c r="C14">
        <v>0.01254528</v>
      </c>
      <c r="D14">
        <v>1.2</v>
      </c>
      <c r="E14">
        <v>1083.912192</v>
      </c>
      <c r="F14">
        <v>0.30108672000000003</v>
      </c>
      <c r="G14" t="str">
        <v>Sheet column C</v>
      </c>
      <c r="H14">
        <v>0</v>
      </c>
      <c r="I14">
        <v>0</v>
      </c>
      <c r="J14">
        <v>0</v>
      </c>
      <c r="K14">
        <v>31</v>
      </c>
      <c r="L14">
        <v>1907.3486328125</v>
      </c>
    </row>
    <row r="15">
      <c r="A15" t="str">
        <v/>
      </c>
      <c r="B15">
        <v>10</v>
      </c>
      <c r="C15">
        <v>0.05018112</v>
      </c>
      <c r="D15">
        <v>4</v>
      </c>
      <c r="E15">
        <v>4335.648768</v>
      </c>
      <c r="F15">
        <v>1.2043468800000001</v>
      </c>
      <c r="G15" t="str">
        <v>Sheet column C</v>
      </c>
      <c r="H15">
        <v>0</v>
      </c>
      <c r="I15">
        <v>0</v>
      </c>
      <c r="J15">
        <v>0</v>
      </c>
      <c r="K15">
        <v>62</v>
      </c>
      <c r="L15">
        <v>3814.697265625</v>
      </c>
    </row>
    <row r="16">
      <c r="A16" t="str">
        <v/>
      </c>
      <c r="B16">
        <v>11</v>
      </c>
      <c r="C16">
        <v>0.060217344</v>
      </c>
      <c r="D16">
        <v>1.2</v>
      </c>
      <c r="E16">
        <v>5202.7785216</v>
      </c>
      <c r="F16">
        <v>1.445216256</v>
      </c>
      <c r="G16" t="str">
        <v>Sheet column C</v>
      </c>
      <c r="H16">
        <v>0</v>
      </c>
      <c r="I16">
        <v>0</v>
      </c>
      <c r="J16">
        <v>0</v>
      </c>
      <c r="K16">
        <v>75</v>
      </c>
      <c r="L16">
        <v>4577.63671875</v>
      </c>
    </row>
    <row r="17">
      <c r="A17" t="str">
        <v/>
      </c>
      <c r="B17">
        <v>12</v>
      </c>
      <c r="C17">
        <v>0.07226081279999999</v>
      </c>
      <c r="D17">
        <v>1.2</v>
      </c>
      <c r="E17">
        <v>6243.334225919999</v>
      </c>
      <c r="F17">
        <v>1.7342595071999998</v>
      </c>
      <c r="G17" t="str">
        <v>Sheet column C</v>
      </c>
      <c r="H17">
        <v>0</v>
      </c>
      <c r="I17">
        <v>0</v>
      </c>
      <c r="J17">
        <v>0</v>
      </c>
      <c r="K17">
        <v>83</v>
      </c>
      <c r="L17">
        <v>5493.1640625</v>
      </c>
    </row>
    <row r="18">
      <c r="A18" t="str">
        <v/>
      </c>
      <c r="B18">
        <v>13</v>
      </c>
      <c r="C18">
        <v>0.08671297535999999</v>
      </c>
      <c r="D18">
        <v>1.2</v>
      </c>
      <c r="E18">
        <v>7492.001071103999</v>
      </c>
      <c r="F18">
        <v>2.0811114086399995</v>
      </c>
      <c r="G18" t="str">
        <v>Sheet column C</v>
      </c>
      <c r="H18">
        <v>0</v>
      </c>
      <c r="I18">
        <v>0</v>
      </c>
      <c r="J18">
        <v>0</v>
      </c>
      <c r="K18">
        <v>92</v>
      </c>
      <c r="L18">
        <v>6591.796875</v>
      </c>
    </row>
    <row r="19">
      <c r="A19" t="str">
        <v/>
      </c>
      <c r="B19">
        <v>14</v>
      </c>
      <c r="C19">
        <v>0.10405557043199998</v>
      </c>
      <c r="D19">
        <v>1.2</v>
      </c>
      <c r="E19">
        <v>8990.401285324799</v>
      </c>
      <c r="F19">
        <v>2.4973336903679995</v>
      </c>
      <c r="G19" t="str">
        <v>Sheet column C</v>
      </c>
      <c r="H19">
        <v>0</v>
      </c>
      <c r="I19">
        <v>0</v>
      </c>
      <c r="J19">
        <v>0</v>
      </c>
      <c r="K19">
        <v>102</v>
      </c>
      <c r="L19">
        <v>7910.15625</v>
      </c>
    </row>
    <row r="20">
      <c r="A20" t="str">
        <v/>
      </c>
      <c r="B20">
        <v>15</v>
      </c>
      <c r="C20">
        <v>0.26013892607999994</v>
      </c>
      <c r="D20">
        <v>2.5</v>
      </c>
      <c r="E20">
        <v>22476.003213311997</v>
      </c>
      <c r="F20">
        <v>6.243334225919998</v>
      </c>
      <c r="G20" t="str">
        <v>Sheet column C</v>
      </c>
      <c r="H20">
        <v>0</v>
      </c>
      <c r="I20">
        <v>0</v>
      </c>
      <c r="J20">
        <v>0</v>
      </c>
      <c r="K20">
        <v>204</v>
      </c>
      <c r="L20">
        <v>15820.3125</v>
      </c>
    </row>
    <row r="21">
      <c r="A21" t="str">
        <v/>
      </c>
      <c r="B21">
        <v>16</v>
      </c>
      <c r="C21">
        <v>0.31216671129599993</v>
      </c>
      <c r="D21">
        <v>1.2</v>
      </c>
      <c r="E21">
        <v>26971.203855974392</v>
      </c>
      <c r="F21">
        <v>7.492001071103998</v>
      </c>
      <c r="G21" t="str">
        <v>Sheet column C</v>
      </c>
      <c r="H21">
        <v>0</v>
      </c>
      <c r="I21">
        <v>0</v>
      </c>
      <c r="J21">
        <v>0</v>
      </c>
      <c r="K21">
        <v>225</v>
      </c>
      <c r="L21">
        <v>17402.34375</v>
      </c>
    </row>
    <row r="22">
      <c r="A22" t="str">
        <v/>
      </c>
      <c r="B22">
        <v>17</v>
      </c>
      <c r="C22">
        <v>0.37460005355519993</v>
      </c>
      <c r="D22">
        <v>1.2</v>
      </c>
      <c r="E22">
        <v>32365.444627169272</v>
      </c>
      <c r="F22">
        <v>8.990401285324799</v>
      </c>
      <c r="G22" t="str">
        <v>Sheet column C</v>
      </c>
      <c r="H22">
        <v>0</v>
      </c>
      <c r="I22">
        <v>0</v>
      </c>
      <c r="J22">
        <v>0</v>
      </c>
      <c r="K22">
        <v>248</v>
      </c>
      <c r="L22">
        <v>19142.578125</v>
      </c>
    </row>
    <row r="23">
      <c r="A23" t="str">
        <v/>
      </c>
      <c r="B23">
        <v>18</v>
      </c>
      <c r="C23">
        <v>0.4495200642662399</v>
      </c>
      <c r="D23">
        <v>1.2</v>
      </c>
      <c r="E23">
        <v>38838.53355260313</v>
      </c>
      <c r="F23">
        <v>10.788481542389757</v>
      </c>
      <c r="G23" t="str">
        <v>Sheet column C</v>
      </c>
      <c r="H23">
        <v>0</v>
      </c>
      <c r="I23">
        <v>0</v>
      </c>
      <c r="J23">
        <v>0</v>
      </c>
      <c r="K23">
        <v>273</v>
      </c>
      <c r="L23">
        <v>21056.8359375</v>
      </c>
    </row>
    <row r="24">
      <c r="A24" t="str">
        <v/>
      </c>
      <c r="B24">
        <v>19</v>
      </c>
      <c r="C24">
        <v>0.5394240771194879</v>
      </c>
      <c r="D24">
        <v>1.2</v>
      </c>
      <c r="E24">
        <v>46606.24026312376</v>
      </c>
      <c r="F24">
        <v>12.94617785086771</v>
      </c>
      <c r="G24" t="str">
        <v>Sheet column C</v>
      </c>
      <c r="H24">
        <v>0</v>
      </c>
      <c r="I24">
        <v>0</v>
      </c>
      <c r="J24">
        <v>0</v>
      </c>
      <c r="K24">
        <v>301</v>
      </c>
      <c r="L24">
        <v>23162.519531250004</v>
      </c>
    </row>
    <row r="25">
      <c r="A25" t="str">
        <v/>
      </c>
      <c r="B25">
        <v>20</v>
      </c>
      <c r="C25">
        <v>1.0788481542389758</v>
      </c>
      <c r="D25">
        <v>2</v>
      </c>
      <c r="E25">
        <v>93212.48052624751</v>
      </c>
      <c r="F25">
        <v>25.89235570173542</v>
      </c>
      <c r="G25" t="str">
        <v>Sheet column C</v>
      </c>
      <c r="H25">
        <v>0</v>
      </c>
      <c r="I25">
        <v>0</v>
      </c>
      <c r="J25">
        <v>0</v>
      </c>
      <c r="K25">
        <v>602</v>
      </c>
      <c r="L25">
        <v>25478.771484375007</v>
      </c>
    </row>
    <row r="27">
      <c r="A27" t="str">
        <v>Bank account</v>
      </c>
      <c r="B27">
        <v>1</v>
      </c>
      <c r="C27">
        <v>0</v>
      </c>
      <c r="D27">
        <v>0</v>
      </c>
      <c r="E27">
        <v>0</v>
      </c>
      <c r="F27">
        <v>0</v>
      </c>
      <c r="G27" t="str">
        <v>Sheet column C</v>
      </c>
      <c r="H27">
        <v>0</v>
      </c>
      <c r="I27">
        <v>0</v>
      </c>
      <c r="J27">
        <v>0</v>
      </c>
      <c r="K27">
        <v>0</v>
      </c>
      <c r="L27">
        <v>50000</v>
      </c>
    </row>
    <row r="28">
      <c r="A28" t="str">
        <v/>
      </c>
      <c r="B28">
        <v>2</v>
      </c>
      <c r="C28">
        <v>0.001</v>
      </c>
      <c r="D28">
        <v>0</v>
      </c>
      <c r="E28">
        <v>86.4</v>
      </c>
      <c r="F28">
        <v>0.024</v>
      </c>
      <c r="G28" t="str">
        <v>Sheet column C</v>
      </c>
      <c r="H28">
        <v>100</v>
      </c>
      <c r="I28">
        <v>50</v>
      </c>
      <c r="J28">
        <v>0</v>
      </c>
      <c r="K28">
        <v>0</v>
      </c>
      <c r="L28">
        <v>62500</v>
      </c>
    </row>
    <row r="29">
      <c r="A29" t="str">
        <v/>
      </c>
      <c r="B29">
        <v>3</v>
      </c>
      <c r="C29">
        <v>0.002</v>
      </c>
      <c r="D29">
        <v>2</v>
      </c>
      <c r="E29">
        <v>172.8</v>
      </c>
      <c r="F29">
        <v>0.048</v>
      </c>
      <c r="G29" t="str">
        <v>Sheet column C</v>
      </c>
      <c r="H29">
        <v>160</v>
      </c>
      <c r="I29">
        <v>80</v>
      </c>
      <c r="J29">
        <v>0</v>
      </c>
      <c r="K29">
        <v>0</v>
      </c>
      <c r="L29">
        <v>78125</v>
      </c>
    </row>
    <row r="30">
      <c r="A30" t="str">
        <v/>
      </c>
      <c r="B30">
        <v>4</v>
      </c>
      <c r="C30">
        <v>0.004</v>
      </c>
      <c r="D30">
        <v>2</v>
      </c>
      <c r="E30">
        <v>345.6</v>
      </c>
      <c r="F30">
        <v>0.096</v>
      </c>
      <c r="G30" t="str">
        <v>Sheet column C</v>
      </c>
      <c r="H30">
        <v>256</v>
      </c>
      <c r="I30">
        <v>128</v>
      </c>
      <c r="J30">
        <v>0</v>
      </c>
      <c r="K30">
        <v>0</v>
      </c>
      <c r="L30">
        <v>97656.25</v>
      </c>
    </row>
    <row r="31">
      <c r="A31" t="str">
        <v/>
      </c>
      <c r="B31">
        <v>5</v>
      </c>
      <c r="C31">
        <v>0.02</v>
      </c>
      <c r="D31">
        <v>5</v>
      </c>
      <c r="E31">
        <v>1728</v>
      </c>
      <c r="F31">
        <v>0.48</v>
      </c>
      <c r="G31" t="str">
        <v>Sheet column C</v>
      </c>
      <c r="H31">
        <v>640</v>
      </c>
      <c r="I31">
        <v>320</v>
      </c>
      <c r="J31">
        <v>0</v>
      </c>
      <c r="K31">
        <v>0</v>
      </c>
      <c r="L31">
        <v>195312.5</v>
      </c>
    </row>
    <row r="32">
      <c r="A32" t="str">
        <v/>
      </c>
      <c r="B32">
        <v>6</v>
      </c>
      <c r="C32">
        <v>0.024</v>
      </c>
      <c r="D32">
        <v>1.2</v>
      </c>
      <c r="E32">
        <v>2073.6</v>
      </c>
      <c r="F32">
        <v>0.5760000000000001</v>
      </c>
      <c r="G32" t="str">
        <v>Sheet column C</v>
      </c>
      <c r="H32">
        <v>870.3999999999999</v>
      </c>
      <c r="I32">
        <v>435.19999999999993</v>
      </c>
      <c r="J32">
        <v>0</v>
      </c>
      <c r="K32">
        <v>0</v>
      </c>
      <c r="L32">
        <v>244140.625</v>
      </c>
    </row>
    <row r="33">
      <c r="A33" t="str">
        <v/>
      </c>
      <c r="B33">
        <v>7</v>
      </c>
      <c r="C33">
        <v>0.0288</v>
      </c>
      <c r="D33">
        <v>1.2</v>
      </c>
      <c r="E33">
        <v>2488.3199999999997</v>
      </c>
      <c r="F33">
        <v>0.6912</v>
      </c>
      <c r="G33" t="str">
        <v>Sheet column C</v>
      </c>
      <c r="H33">
        <v>1183.7439999999997</v>
      </c>
      <c r="I33">
        <v>591.8719999999998</v>
      </c>
      <c r="J33">
        <v>0</v>
      </c>
      <c r="K33">
        <v>0</v>
      </c>
      <c r="L33">
        <v>305175.78125</v>
      </c>
    </row>
    <row r="34">
      <c r="A34" t="str">
        <v/>
      </c>
      <c r="B34">
        <v>8</v>
      </c>
      <c r="C34">
        <v>0.03456</v>
      </c>
      <c r="D34">
        <v>1.2</v>
      </c>
      <c r="E34">
        <v>2985.984</v>
      </c>
      <c r="F34">
        <v>0.82944</v>
      </c>
      <c r="G34" t="str">
        <v>Sheet column C</v>
      </c>
      <c r="H34">
        <v>1609.8918399999993</v>
      </c>
      <c r="I34">
        <v>804.9459199999997</v>
      </c>
      <c r="J34">
        <v>0</v>
      </c>
      <c r="K34">
        <v>0</v>
      </c>
      <c r="L34">
        <v>381469.7265625</v>
      </c>
    </row>
    <row r="35">
      <c r="A35" t="str">
        <v/>
      </c>
      <c r="B35">
        <v>9</v>
      </c>
      <c r="C35">
        <v>0.041472</v>
      </c>
      <c r="D35">
        <v>1.2</v>
      </c>
      <c r="E35">
        <v>3583.1808</v>
      </c>
      <c r="F35">
        <v>0.995328</v>
      </c>
      <c r="G35" t="str">
        <v>Sheet column C</v>
      </c>
      <c r="H35">
        <v>2189.452902399999</v>
      </c>
      <c r="I35">
        <v>1094.7264511999995</v>
      </c>
      <c r="J35">
        <v>0</v>
      </c>
      <c r="K35">
        <v>0</v>
      </c>
      <c r="L35">
        <v>476837.158203125</v>
      </c>
    </row>
    <row r="36">
      <c r="A36" t="str">
        <v/>
      </c>
      <c r="B36">
        <v>10</v>
      </c>
      <c r="C36">
        <v>0.165888</v>
      </c>
      <c r="D36">
        <v>4</v>
      </c>
      <c r="E36">
        <v>14332.7232</v>
      </c>
      <c r="F36">
        <v>3.981312</v>
      </c>
      <c r="G36" t="str">
        <v>Sheet column C</v>
      </c>
      <c r="H36">
        <v>4816.7963852799985</v>
      </c>
      <c r="I36">
        <v>2408.3981926399993</v>
      </c>
      <c r="J36">
        <v>0</v>
      </c>
      <c r="K36">
        <v>0</v>
      </c>
      <c r="L36">
        <v>953674.31640625</v>
      </c>
    </row>
    <row r="37">
      <c r="A37" t="str">
        <v/>
      </c>
      <c r="B37">
        <v>11</v>
      </c>
      <c r="C37">
        <v>0.1990656</v>
      </c>
      <c r="D37">
        <v>1.2</v>
      </c>
      <c r="E37">
        <v>17199.26784</v>
      </c>
      <c r="F37">
        <v>4.777574400000001</v>
      </c>
      <c r="G37" t="str">
        <v>Sheet column C</v>
      </c>
      <c r="H37">
        <v>6550.843083980797</v>
      </c>
      <c r="I37">
        <v>3275.4215419903985</v>
      </c>
      <c r="J37">
        <v>0</v>
      </c>
      <c r="K37">
        <v>0</v>
      </c>
      <c r="L37">
        <v>1144409.1796875</v>
      </c>
    </row>
    <row r="38">
      <c r="A38" t="str">
        <v/>
      </c>
      <c r="B38">
        <v>12</v>
      </c>
      <c r="C38">
        <v>0.23887872</v>
      </c>
      <c r="D38">
        <v>1.2</v>
      </c>
      <c r="E38">
        <v>20639.121408</v>
      </c>
      <c r="F38">
        <v>5.73308928</v>
      </c>
      <c r="G38" t="str">
        <v>Sheet column C</v>
      </c>
      <c r="H38">
        <v>8909.146594213884</v>
      </c>
      <c r="I38">
        <v>4454.573297106942</v>
      </c>
      <c r="J38">
        <v>0</v>
      </c>
      <c r="K38">
        <v>0</v>
      </c>
      <c r="L38">
        <v>1373291.015625</v>
      </c>
    </row>
    <row r="39">
      <c r="A39" t="str">
        <v/>
      </c>
      <c r="B39">
        <v>13</v>
      </c>
      <c r="C39">
        <v>0.286654464</v>
      </c>
      <c r="D39">
        <v>1.2</v>
      </c>
      <c r="E39">
        <v>24766.9456896</v>
      </c>
      <c r="F39">
        <v>6.879707136</v>
      </c>
      <c r="G39" t="str">
        <v>Sheet column C</v>
      </c>
      <c r="H39">
        <v>12116.439368130881</v>
      </c>
      <c r="I39">
        <v>6058.219684065441</v>
      </c>
      <c r="J39">
        <v>0</v>
      </c>
      <c r="K39">
        <v>0</v>
      </c>
      <c r="L39">
        <v>1647949.21875</v>
      </c>
    </row>
    <row r="40">
      <c r="A40" t="str">
        <v/>
      </c>
      <c r="B40">
        <v>14</v>
      </c>
      <c r="C40">
        <v>0.3439853568</v>
      </c>
      <c r="D40">
        <v>1.2</v>
      </c>
      <c r="E40">
        <v>29720.334827519997</v>
      </c>
      <c r="F40">
        <v>8.2556485632</v>
      </c>
      <c r="G40" t="str">
        <v>Sheet column C</v>
      </c>
      <c r="H40">
        <v>16478.357540658</v>
      </c>
      <c r="I40">
        <v>8239.178770329</v>
      </c>
      <c r="J40">
        <v>0</v>
      </c>
      <c r="K40">
        <v>0</v>
      </c>
      <c r="L40">
        <v>1977539.0625</v>
      </c>
    </row>
    <row r="41">
      <c r="A41" t="str">
        <v/>
      </c>
      <c r="B41">
        <v>15</v>
      </c>
      <c r="C41">
        <v>0.8599633919999999</v>
      </c>
      <c r="D41">
        <v>2.5</v>
      </c>
      <c r="E41">
        <v>74300.8370688</v>
      </c>
      <c r="F41">
        <v>20.639121407999998</v>
      </c>
      <c r="G41" t="str">
        <v>Sheet column C</v>
      </c>
      <c r="H41">
        <v>28837.125696151496</v>
      </c>
      <c r="I41">
        <v>14418.562848075748</v>
      </c>
      <c r="J41">
        <v>0</v>
      </c>
      <c r="K41">
        <v>0</v>
      </c>
      <c r="L41">
        <v>3955078.125</v>
      </c>
    </row>
    <row r="42">
      <c r="A42" t="str">
        <v/>
      </c>
      <c r="B42">
        <v>16</v>
      </c>
      <c r="C42">
        <v>1.0319560704</v>
      </c>
      <c r="D42">
        <v>1.2</v>
      </c>
      <c r="E42">
        <v>89161.00448255999</v>
      </c>
      <c r="F42">
        <v>24.7669456896</v>
      </c>
      <c r="G42" t="str">
        <v>Sheet column C</v>
      </c>
      <c r="H42">
        <v>39218.49094676603</v>
      </c>
      <c r="I42">
        <v>19609.245473383016</v>
      </c>
      <c r="J42">
        <v>0</v>
      </c>
      <c r="K42">
        <v>0</v>
      </c>
      <c r="L42">
        <v>4350585.9375</v>
      </c>
    </row>
    <row r="43">
      <c r="A43" t="str">
        <v/>
      </c>
      <c r="B43">
        <v>17</v>
      </c>
      <c r="C43">
        <v>1.2383472844799999</v>
      </c>
      <c r="D43">
        <v>1.2</v>
      </c>
      <c r="E43">
        <v>106993.205379072</v>
      </c>
      <c r="F43">
        <v>29.72033482752</v>
      </c>
      <c r="G43" t="str">
        <v>Sheet column C</v>
      </c>
      <c r="H43">
        <v>53337.1476876018</v>
      </c>
      <c r="I43">
        <v>26668.5738438009</v>
      </c>
      <c r="J43">
        <v>0</v>
      </c>
      <c r="K43">
        <v>0</v>
      </c>
      <c r="L43">
        <v>4785644.53125</v>
      </c>
    </row>
    <row r="44">
      <c r="A44" t="str">
        <v/>
      </c>
      <c r="B44">
        <v>18</v>
      </c>
      <c r="C44">
        <v>1.4860167413759997</v>
      </c>
      <c r="D44">
        <v>1.2</v>
      </c>
      <c r="E44">
        <v>128391.84645488637</v>
      </c>
      <c r="F44">
        <v>35.66440179302399</v>
      </c>
      <c r="G44" t="str">
        <v>Sheet column C</v>
      </c>
      <c r="H44">
        <v>72538.52085513844</v>
      </c>
      <c r="I44">
        <v>36269.26042756922</v>
      </c>
      <c r="J44">
        <v>0</v>
      </c>
      <c r="K44">
        <v>0</v>
      </c>
      <c r="L44">
        <v>5264208.984375</v>
      </c>
    </row>
    <row r="45">
      <c r="A45" t="str">
        <v/>
      </c>
      <c r="B45">
        <v>19</v>
      </c>
      <c r="C45">
        <v>1.7832200896511996</v>
      </c>
      <c r="D45">
        <v>1.2</v>
      </c>
      <c r="E45">
        <v>154070.21574586365</v>
      </c>
      <c r="F45">
        <v>42.79728215162879</v>
      </c>
      <c r="G45" t="str">
        <v>Sheet column C</v>
      </c>
      <c r="H45">
        <v>98652.38836298828</v>
      </c>
      <c r="I45">
        <v>49326.19418149414</v>
      </c>
      <c r="J45">
        <v>0</v>
      </c>
      <c r="K45">
        <v>0</v>
      </c>
      <c r="L45">
        <v>5790629.882812501</v>
      </c>
    </row>
    <row r="46">
      <c r="A46" t="str">
        <v/>
      </c>
      <c r="B46">
        <v>20</v>
      </c>
      <c r="C46">
        <v>3.566440179302399</v>
      </c>
      <c r="D46">
        <v>2</v>
      </c>
      <c r="E46">
        <v>308140.4314917273</v>
      </c>
      <c r="F46">
        <v>85.59456430325758</v>
      </c>
      <c r="G46" t="str">
        <v>Sheet column C</v>
      </c>
      <c r="H46">
        <v>157843.82138078124</v>
      </c>
      <c r="I46">
        <v>78921.91069039062</v>
      </c>
      <c r="J46">
        <v>0</v>
      </c>
      <c r="K46">
        <v>0</v>
      </c>
      <c r="L46">
        <v>6369692.871093752</v>
      </c>
    </row>
    <row r="48">
      <c r="A48" t="str">
        <v>Office supply</v>
      </c>
      <c r="B48">
        <v>1</v>
      </c>
      <c r="C48">
        <v>0</v>
      </c>
      <c r="D48">
        <v>0</v>
      </c>
      <c r="E48">
        <v>0</v>
      </c>
      <c r="F48">
        <v>0</v>
      </c>
      <c r="G48" t="str">
        <v>Sheet column C</v>
      </c>
      <c r="H48">
        <v>0</v>
      </c>
      <c r="I48">
        <v>0</v>
      </c>
      <c r="J48">
        <v>0</v>
      </c>
      <c r="K48">
        <v>2</v>
      </c>
      <c r="L48">
        <v>80</v>
      </c>
    </row>
    <row r="49">
      <c r="A49" t="str">
        <v/>
      </c>
      <c r="B49">
        <v>2</v>
      </c>
      <c r="C49">
        <v>0.001</v>
      </c>
      <c r="D49">
        <v>0</v>
      </c>
      <c r="E49">
        <v>86.4</v>
      </c>
      <c r="F49">
        <v>0.024</v>
      </c>
      <c r="G49" t="str">
        <v>Sheet column C</v>
      </c>
      <c r="H49">
        <v>0</v>
      </c>
      <c r="I49">
        <v>0</v>
      </c>
      <c r="J49">
        <v>0</v>
      </c>
      <c r="K49">
        <v>3</v>
      </c>
      <c r="L49">
        <v>100</v>
      </c>
    </row>
    <row r="50">
      <c r="A50" t="str">
        <v/>
      </c>
      <c r="B50">
        <v>3</v>
      </c>
      <c r="C50">
        <v>0.002</v>
      </c>
      <c r="D50">
        <v>2</v>
      </c>
      <c r="E50">
        <v>172.8</v>
      </c>
      <c r="F50">
        <v>0.048</v>
      </c>
      <c r="G50" t="str">
        <v>Sheet column C</v>
      </c>
      <c r="H50">
        <v>0</v>
      </c>
      <c r="I50">
        <v>0</v>
      </c>
      <c r="J50">
        <v>0</v>
      </c>
      <c r="K50">
        <v>4</v>
      </c>
      <c r="L50">
        <v>125</v>
      </c>
    </row>
    <row r="51">
      <c r="A51" t="str">
        <v/>
      </c>
      <c r="B51">
        <v>4</v>
      </c>
      <c r="C51">
        <v>0.004</v>
      </c>
      <c r="D51">
        <v>2</v>
      </c>
      <c r="E51">
        <v>345.6</v>
      </c>
      <c r="F51">
        <v>0.096</v>
      </c>
      <c r="G51" t="str">
        <v>Sheet column C</v>
      </c>
      <c r="H51">
        <v>0</v>
      </c>
      <c r="I51">
        <v>0</v>
      </c>
      <c r="J51">
        <v>0</v>
      </c>
      <c r="K51">
        <v>5</v>
      </c>
      <c r="L51">
        <v>156.25</v>
      </c>
    </row>
    <row r="52">
      <c r="A52" t="str">
        <v/>
      </c>
      <c r="B52">
        <v>5</v>
      </c>
      <c r="C52">
        <v>0.02</v>
      </c>
      <c r="D52">
        <v>5</v>
      </c>
      <c r="E52">
        <v>1728</v>
      </c>
      <c r="F52">
        <v>0.48</v>
      </c>
      <c r="G52" t="str">
        <v>Sheet column C</v>
      </c>
      <c r="H52">
        <v>0</v>
      </c>
      <c r="I52">
        <v>0</v>
      </c>
      <c r="J52">
        <v>0</v>
      </c>
      <c r="K52">
        <v>10</v>
      </c>
      <c r="L52">
        <v>312.5</v>
      </c>
    </row>
    <row r="53">
      <c r="A53" t="str">
        <v/>
      </c>
      <c r="B53">
        <v>6</v>
      </c>
      <c r="C53">
        <v>0.024</v>
      </c>
      <c r="D53">
        <v>1.2</v>
      </c>
      <c r="E53">
        <v>2073.6</v>
      </c>
      <c r="F53">
        <v>0.5760000000000001</v>
      </c>
      <c r="G53" t="str">
        <v>Sheet column C</v>
      </c>
      <c r="H53">
        <v>0</v>
      </c>
      <c r="I53">
        <v>0</v>
      </c>
      <c r="J53">
        <v>0</v>
      </c>
      <c r="K53">
        <v>13</v>
      </c>
      <c r="L53">
        <v>390.625</v>
      </c>
    </row>
    <row r="54">
      <c r="A54" t="str">
        <v/>
      </c>
      <c r="B54">
        <v>7</v>
      </c>
      <c r="C54">
        <v>0.0288</v>
      </c>
      <c r="D54">
        <v>1.2</v>
      </c>
      <c r="E54">
        <v>2488.3199999999997</v>
      </c>
      <c r="F54">
        <v>0.6912</v>
      </c>
      <c r="G54" t="str">
        <v>Sheet column C</v>
      </c>
      <c r="H54">
        <v>0</v>
      </c>
      <c r="I54">
        <v>0</v>
      </c>
      <c r="J54">
        <v>0</v>
      </c>
      <c r="K54">
        <v>17</v>
      </c>
      <c r="L54">
        <v>488.28125</v>
      </c>
    </row>
    <row r="55">
      <c r="A55" t="str">
        <v/>
      </c>
      <c r="B55">
        <v>8</v>
      </c>
      <c r="C55">
        <v>0.03456</v>
      </c>
      <c r="D55">
        <v>1.2</v>
      </c>
      <c r="E55">
        <v>2985.984</v>
      </c>
      <c r="F55">
        <v>0.82944</v>
      </c>
      <c r="G55" t="str">
        <v>Sheet column C</v>
      </c>
      <c r="H55">
        <v>0</v>
      </c>
      <c r="I55">
        <v>0</v>
      </c>
      <c r="J55">
        <v>0</v>
      </c>
      <c r="K55">
        <v>22</v>
      </c>
      <c r="L55">
        <v>610.3515625</v>
      </c>
    </row>
    <row r="56">
      <c r="A56" t="str">
        <v/>
      </c>
      <c r="B56">
        <v>9</v>
      </c>
      <c r="C56">
        <v>0.041472</v>
      </c>
      <c r="D56">
        <v>1.2</v>
      </c>
      <c r="E56">
        <v>3583.1808</v>
      </c>
      <c r="F56">
        <v>0.995328</v>
      </c>
      <c r="G56" t="str">
        <v>Sheet column C</v>
      </c>
      <c r="H56">
        <v>0</v>
      </c>
      <c r="I56">
        <v>0</v>
      </c>
      <c r="J56">
        <v>0</v>
      </c>
      <c r="K56">
        <v>28</v>
      </c>
      <c r="L56">
        <v>762.939453125</v>
      </c>
    </row>
    <row r="57">
      <c r="A57" t="str">
        <v/>
      </c>
      <c r="B57">
        <v>10</v>
      </c>
      <c r="C57">
        <v>0.165888</v>
      </c>
      <c r="D57">
        <v>4</v>
      </c>
      <c r="E57">
        <v>14332.7232</v>
      </c>
      <c r="F57">
        <v>3.981312</v>
      </c>
      <c r="G57" t="str">
        <v>Sheet column C</v>
      </c>
      <c r="H57">
        <v>0</v>
      </c>
      <c r="I57">
        <v>0</v>
      </c>
      <c r="J57">
        <v>0</v>
      </c>
      <c r="K57">
        <v>56</v>
      </c>
      <c r="L57">
        <v>1525.87890625</v>
      </c>
    </row>
    <row r="58">
      <c r="A58" t="str">
        <v/>
      </c>
      <c r="B58">
        <v>11</v>
      </c>
      <c r="C58">
        <v>0.1990656</v>
      </c>
      <c r="D58">
        <v>1.2</v>
      </c>
      <c r="E58">
        <v>17199.26784</v>
      </c>
      <c r="F58">
        <v>4.777574400000001</v>
      </c>
      <c r="G58" t="str">
        <v>Sheet column C</v>
      </c>
      <c r="H58">
        <v>0</v>
      </c>
      <c r="I58">
        <v>0</v>
      </c>
      <c r="J58">
        <v>0</v>
      </c>
      <c r="K58">
        <v>59</v>
      </c>
      <c r="L58">
        <v>1831.0546875</v>
      </c>
    </row>
    <row r="59">
      <c r="A59" t="str">
        <v/>
      </c>
      <c r="B59">
        <v>12</v>
      </c>
      <c r="C59">
        <v>0.23887872</v>
      </c>
      <c r="D59">
        <v>1.2</v>
      </c>
      <c r="E59">
        <v>20639.121408</v>
      </c>
      <c r="F59">
        <v>5.73308928</v>
      </c>
      <c r="G59" t="str">
        <v>Sheet column C</v>
      </c>
      <c r="H59">
        <v>0</v>
      </c>
      <c r="I59">
        <v>0</v>
      </c>
      <c r="J59">
        <v>0</v>
      </c>
      <c r="K59">
        <v>62</v>
      </c>
      <c r="L59">
        <v>2197.265625</v>
      </c>
    </row>
    <row r="60">
      <c r="A60" t="str">
        <v/>
      </c>
      <c r="B60">
        <v>13</v>
      </c>
      <c r="C60">
        <v>0.286654464</v>
      </c>
      <c r="D60">
        <v>1.2</v>
      </c>
      <c r="E60">
        <v>24766.9456896</v>
      </c>
      <c r="F60">
        <v>6.879707136</v>
      </c>
      <c r="G60" t="str">
        <v>Sheet column C</v>
      </c>
      <c r="H60">
        <v>0</v>
      </c>
      <c r="I60">
        <v>0</v>
      </c>
      <c r="J60">
        <v>0</v>
      </c>
      <c r="K60">
        <v>66</v>
      </c>
      <c r="L60">
        <v>2636.71875</v>
      </c>
    </row>
    <row r="61">
      <c r="A61" t="str">
        <v/>
      </c>
      <c r="B61">
        <v>14</v>
      </c>
      <c r="C61">
        <v>0.3439853568</v>
      </c>
      <c r="D61">
        <v>1.2</v>
      </c>
      <c r="E61">
        <v>29720.334827519997</v>
      </c>
      <c r="F61">
        <v>8.2556485632</v>
      </c>
      <c r="G61" t="str">
        <v>Sheet column C</v>
      </c>
      <c r="H61">
        <v>0</v>
      </c>
      <c r="I61">
        <v>0</v>
      </c>
      <c r="J61">
        <v>0</v>
      </c>
      <c r="K61">
        <v>70</v>
      </c>
      <c r="L61">
        <v>3164.0625</v>
      </c>
    </row>
    <row r="62">
      <c r="A62" t="str">
        <v/>
      </c>
      <c r="B62">
        <v>15</v>
      </c>
      <c r="C62">
        <v>0.8599633919999999</v>
      </c>
      <c r="D62">
        <v>2.5</v>
      </c>
      <c r="E62">
        <v>74300.8370688</v>
      </c>
      <c r="F62">
        <v>20.639121407999998</v>
      </c>
      <c r="G62" t="str">
        <v>Sheet column C</v>
      </c>
      <c r="H62">
        <v>0</v>
      </c>
      <c r="I62">
        <v>0</v>
      </c>
      <c r="J62">
        <v>0</v>
      </c>
      <c r="K62">
        <v>140</v>
      </c>
      <c r="L62">
        <v>6328.125</v>
      </c>
    </row>
    <row r="63">
      <c r="A63" t="str">
        <v/>
      </c>
      <c r="B63">
        <v>16</v>
      </c>
      <c r="C63">
        <v>1.0319560704</v>
      </c>
      <c r="D63">
        <v>1.2</v>
      </c>
      <c r="E63">
        <v>89161.00448255999</v>
      </c>
      <c r="F63">
        <v>24.7669456896</v>
      </c>
      <c r="G63" t="str">
        <v>Sheet column C</v>
      </c>
      <c r="H63">
        <v>0</v>
      </c>
      <c r="I63">
        <v>0</v>
      </c>
      <c r="J63">
        <v>0</v>
      </c>
      <c r="K63">
        <v>147</v>
      </c>
      <c r="L63">
        <v>6960.937500000001</v>
      </c>
    </row>
    <row r="64">
      <c r="A64" t="str">
        <v/>
      </c>
      <c r="B64">
        <v>17</v>
      </c>
      <c r="C64">
        <v>1.2383472844799999</v>
      </c>
      <c r="D64">
        <v>1.2</v>
      </c>
      <c r="E64">
        <v>106993.205379072</v>
      </c>
      <c r="F64">
        <v>29.72033482752</v>
      </c>
      <c r="G64" t="str">
        <v>Sheet column C</v>
      </c>
      <c r="H64">
        <v>0</v>
      </c>
      <c r="I64">
        <v>0</v>
      </c>
      <c r="J64">
        <v>0</v>
      </c>
      <c r="K64">
        <v>155</v>
      </c>
      <c r="L64">
        <v>7657.031250000002</v>
      </c>
    </row>
    <row r="65">
      <c r="A65" t="str">
        <v/>
      </c>
      <c r="B65">
        <v>18</v>
      </c>
      <c r="C65">
        <v>1.4860167413759997</v>
      </c>
      <c r="D65">
        <v>1.2</v>
      </c>
      <c r="E65">
        <v>128391.84645488637</v>
      </c>
      <c r="F65">
        <v>35.66440179302399</v>
      </c>
      <c r="G65" t="str">
        <v>Sheet column C</v>
      </c>
      <c r="H65">
        <v>0</v>
      </c>
      <c r="I65">
        <v>0</v>
      </c>
      <c r="J65">
        <v>0</v>
      </c>
      <c r="K65">
        <v>163</v>
      </c>
      <c r="L65">
        <v>8422.734375000002</v>
      </c>
    </row>
    <row r="66">
      <c r="A66" t="str">
        <v/>
      </c>
      <c r="B66">
        <v>19</v>
      </c>
      <c r="C66">
        <v>1.7832200896511996</v>
      </c>
      <c r="D66">
        <v>1.2</v>
      </c>
      <c r="E66">
        <v>154070.21574586365</v>
      </c>
      <c r="F66">
        <v>42.79728215162879</v>
      </c>
      <c r="G66" t="str">
        <v>Sheet column C</v>
      </c>
      <c r="H66">
        <v>0</v>
      </c>
      <c r="I66">
        <v>0</v>
      </c>
      <c r="J66">
        <v>0</v>
      </c>
      <c r="K66">
        <v>172</v>
      </c>
      <c r="L66">
        <v>9265.007812500004</v>
      </c>
    </row>
    <row r="67">
      <c r="A67" t="str">
        <v/>
      </c>
      <c r="B67">
        <v>20</v>
      </c>
      <c r="C67">
        <v>3.566440179302399</v>
      </c>
      <c r="D67">
        <v>2</v>
      </c>
      <c r="E67">
        <v>308140.4314917273</v>
      </c>
      <c r="F67">
        <v>85.59456430325758</v>
      </c>
      <c r="G67" t="str">
        <v>Sheet column C</v>
      </c>
      <c r="H67">
        <v>0</v>
      </c>
      <c r="I67">
        <v>0</v>
      </c>
      <c r="J67">
        <v>0</v>
      </c>
      <c r="K67">
        <v>190</v>
      </c>
      <c r="L67">
        <v>10191.508593750004</v>
      </c>
    </row>
    <row r="69">
      <c r="A69" t="str">
        <v>Storage Room</v>
      </c>
      <c r="B69">
        <v>1</v>
      </c>
      <c r="C69">
        <v>0</v>
      </c>
      <c r="D69">
        <v>0</v>
      </c>
      <c r="E69">
        <v>0</v>
      </c>
      <c r="F69">
        <v>0</v>
      </c>
      <c r="G69" t="str">
        <v>Sheet column C</v>
      </c>
      <c r="H69">
        <v>0</v>
      </c>
      <c r="I69">
        <v>0</v>
      </c>
      <c r="J69">
        <v>0</v>
      </c>
      <c r="K69">
        <v>2</v>
      </c>
      <c r="L69">
        <v>2000</v>
      </c>
    </row>
    <row r="70">
      <c r="A70" t="str">
        <v/>
      </c>
      <c r="B70">
        <v>2</v>
      </c>
      <c r="C70">
        <v>0.001</v>
      </c>
      <c r="D70">
        <v>0</v>
      </c>
      <c r="E70">
        <v>86.4</v>
      </c>
      <c r="F70">
        <v>0.024</v>
      </c>
      <c r="G70" t="str">
        <v>Sheet column C</v>
      </c>
      <c r="H70">
        <v>120</v>
      </c>
      <c r="I70">
        <v>30</v>
      </c>
      <c r="J70">
        <v>0</v>
      </c>
      <c r="K70">
        <v>2</v>
      </c>
      <c r="L70">
        <v>2500</v>
      </c>
    </row>
    <row r="71">
      <c r="A71" t="str">
        <v/>
      </c>
      <c r="B71">
        <v>3</v>
      </c>
      <c r="C71">
        <v>0.002</v>
      </c>
      <c r="D71">
        <v>2</v>
      </c>
      <c r="E71">
        <v>172.8</v>
      </c>
      <c r="F71">
        <v>0.048</v>
      </c>
      <c r="G71" t="str">
        <v>Sheet column C</v>
      </c>
      <c r="H71">
        <v>192</v>
      </c>
      <c r="I71">
        <v>44.4</v>
      </c>
      <c r="J71">
        <v>0</v>
      </c>
      <c r="K71">
        <v>2</v>
      </c>
      <c r="L71">
        <v>3125</v>
      </c>
    </row>
    <row r="72">
      <c r="A72" t="str">
        <v/>
      </c>
      <c r="B72">
        <v>4</v>
      </c>
      <c r="C72">
        <v>0.004</v>
      </c>
      <c r="D72">
        <v>2</v>
      </c>
      <c r="E72">
        <v>345.6</v>
      </c>
      <c r="F72">
        <v>0.096</v>
      </c>
      <c r="G72" t="str">
        <v>Sheet column C</v>
      </c>
      <c r="H72">
        <v>307.20000000000005</v>
      </c>
      <c r="I72">
        <v>65.712</v>
      </c>
      <c r="J72">
        <v>0</v>
      </c>
      <c r="K72">
        <v>2</v>
      </c>
      <c r="L72">
        <v>3906.25</v>
      </c>
    </row>
    <row r="73">
      <c r="A73" t="str">
        <v/>
      </c>
      <c r="B73">
        <v>5</v>
      </c>
      <c r="C73">
        <v>0.02</v>
      </c>
      <c r="D73">
        <v>5</v>
      </c>
      <c r="E73">
        <v>1728</v>
      </c>
      <c r="F73">
        <v>0.48</v>
      </c>
      <c r="G73" t="str">
        <v>Sheet column C</v>
      </c>
      <c r="H73">
        <v>768.0000000000001</v>
      </c>
      <c r="I73">
        <v>97.25376</v>
      </c>
      <c r="J73">
        <v>0</v>
      </c>
      <c r="K73">
        <v>10</v>
      </c>
      <c r="L73">
        <v>7812.5</v>
      </c>
    </row>
    <row r="74">
      <c r="A74" t="str">
        <v/>
      </c>
      <c r="B74">
        <v>6</v>
      </c>
      <c r="C74">
        <v>0.024</v>
      </c>
      <c r="D74">
        <v>1.2</v>
      </c>
      <c r="E74">
        <v>2073.6</v>
      </c>
      <c r="F74">
        <v>0.5760000000000001</v>
      </c>
      <c r="G74" t="str">
        <v>Sheet column C</v>
      </c>
      <c r="H74">
        <v>1044.48</v>
      </c>
      <c r="I74">
        <v>170.19407999999999</v>
      </c>
      <c r="J74">
        <v>0</v>
      </c>
      <c r="K74">
        <v>10</v>
      </c>
      <c r="L74">
        <v>9765.625</v>
      </c>
    </row>
    <row r="75">
      <c r="A75" t="str">
        <v/>
      </c>
      <c r="B75">
        <v>7</v>
      </c>
      <c r="C75">
        <v>0.0288</v>
      </c>
      <c r="D75">
        <v>1.2</v>
      </c>
      <c r="E75">
        <v>2488.3199999999997</v>
      </c>
      <c r="F75">
        <v>0.6912</v>
      </c>
      <c r="G75" t="str">
        <v>Sheet column C</v>
      </c>
      <c r="H75">
        <v>1420.4928</v>
      </c>
      <c r="I75">
        <v>239.63326463999996</v>
      </c>
      <c r="J75">
        <v>0</v>
      </c>
      <c r="K75">
        <v>10</v>
      </c>
      <c r="L75">
        <v>12207.03125</v>
      </c>
    </row>
    <row r="76">
      <c r="A76" t="str">
        <v/>
      </c>
      <c r="B76">
        <v>8</v>
      </c>
      <c r="C76">
        <v>0.03456</v>
      </c>
      <c r="D76">
        <v>1.2</v>
      </c>
      <c r="E76">
        <v>2985.984</v>
      </c>
      <c r="F76">
        <v>0.82944</v>
      </c>
      <c r="G76" t="str">
        <v>Sheet column C</v>
      </c>
      <c r="H76">
        <v>1931.8702079999998</v>
      </c>
      <c r="I76">
        <v>337.40363661311994</v>
      </c>
      <c r="J76">
        <v>0</v>
      </c>
      <c r="K76">
        <v>10</v>
      </c>
      <c r="L76">
        <v>15258.7890625</v>
      </c>
    </row>
    <row r="77">
      <c r="A77" t="str">
        <v/>
      </c>
      <c r="B77">
        <v>9</v>
      </c>
      <c r="C77">
        <v>0.041472</v>
      </c>
      <c r="D77">
        <v>1.2</v>
      </c>
      <c r="E77">
        <v>3583.1808</v>
      </c>
      <c r="F77">
        <v>0.995328</v>
      </c>
      <c r="G77" t="str">
        <v>Sheet column C</v>
      </c>
      <c r="H77">
        <v>2627.3434828799996</v>
      </c>
      <c r="I77">
        <v>475.06432035127284</v>
      </c>
      <c r="J77">
        <v>0</v>
      </c>
      <c r="K77">
        <v>10</v>
      </c>
      <c r="L77">
        <v>19073.486328125</v>
      </c>
    </row>
    <row r="78">
      <c r="A78" t="str">
        <v/>
      </c>
      <c r="B78">
        <v>10</v>
      </c>
      <c r="C78">
        <v>0.165888</v>
      </c>
      <c r="D78">
        <v>4</v>
      </c>
      <c r="E78">
        <v>14332.7232</v>
      </c>
      <c r="F78">
        <v>3.981312</v>
      </c>
      <c r="G78" t="str">
        <v>Sheet column C</v>
      </c>
      <c r="H78">
        <v>5780.155662335999</v>
      </c>
      <c r="I78">
        <v>668.8905630545921</v>
      </c>
      <c r="J78">
        <v>0</v>
      </c>
      <c r="K78">
        <v>30</v>
      </c>
      <c r="L78">
        <v>38146.97265625</v>
      </c>
    </row>
    <row r="79">
      <c r="A79" t="str">
        <v/>
      </c>
      <c r="B79">
        <v>11</v>
      </c>
      <c r="C79">
        <v>0.1990656</v>
      </c>
      <c r="D79">
        <v>1.2</v>
      </c>
      <c r="E79">
        <v>17199.26784</v>
      </c>
      <c r="F79">
        <v>4.777574400000001</v>
      </c>
      <c r="G79" t="str">
        <v>Sheet column C</v>
      </c>
      <c r="H79">
        <v>7861.011700776959</v>
      </c>
      <c r="I79">
        <v>1110.358334670623</v>
      </c>
      <c r="J79">
        <v>0</v>
      </c>
      <c r="K79">
        <v>30</v>
      </c>
      <c r="L79">
        <v>45776.3671875</v>
      </c>
    </row>
    <row r="80">
      <c r="A80" t="str">
        <v/>
      </c>
      <c r="B80">
        <v>12</v>
      </c>
      <c r="C80">
        <v>0.23887872</v>
      </c>
      <c r="D80">
        <v>1.2</v>
      </c>
      <c r="E80">
        <v>20639.121408</v>
      </c>
      <c r="F80">
        <v>5.73308928</v>
      </c>
      <c r="G80" t="str">
        <v>Sheet column C</v>
      </c>
      <c r="H80">
        <v>10690.975913056664</v>
      </c>
      <c r="I80">
        <v>1563.384535216237</v>
      </c>
      <c r="J80">
        <v>0</v>
      </c>
      <c r="K80">
        <v>30</v>
      </c>
      <c r="L80">
        <v>54931.640625</v>
      </c>
    </row>
    <row r="81">
      <c r="A81" t="str">
        <v/>
      </c>
      <c r="B81">
        <v>13</v>
      </c>
      <c r="C81">
        <v>0.286654464</v>
      </c>
      <c r="D81">
        <v>1.2</v>
      </c>
      <c r="E81">
        <v>24766.9456896</v>
      </c>
      <c r="F81">
        <v>6.879707136</v>
      </c>
      <c r="G81" t="str">
        <v>Sheet column C</v>
      </c>
      <c r="H81">
        <v>14539.72724175706</v>
      </c>
      <c r="I81">
        <v>2201.245425584462</v>
      </c>
      <c r="J81">
        <v>0</v>
      </c>
      <c r="K81">
        <v>30</v>
      </c>
      <c r="L81">
        <v>65917.96875</v>
      </c>
    </row>
    <row r="82">
      <c r="A82" t="str">
        <v/>
      </c>
      <c r="B82">
        <v>14</v>
      </c>
      <c r="C82">
        <v>0.3439853568</v>
      </c>
      <c r="D82">
        <v>1.2</v>
      </c>
      <c r="E82">
        <v>29720.334827519997</v>
      </c>
      <c r="F82">
        <v>8.2556485632</v>
      </c>
      <c r="G82" t="str">
        <v>Sheet column C</v>
      </c>
      <c r="H82">
        <v>19774.0290487896</v>
      </c>
      <c r="I82">
        <v>3099.3535592229223</v>
      </c>
      <c r="J82">
        <v>0</v>
      </c>
      <c r="K82">
        <v>30</v>
      </c>
      <c r="L82">
        <v>79101.5625</v>
      </c>
    </row>
    <row r="83">
      <c r="A83" t="str">
        <v/>
      </c>
      <c r="B83">
        <v>15</v>
      </c>
      <c r="C83">
        <v>0.8599633919999999</v>
      </c>
      <c r="D83">
        <v>2.5</v>
      </c>
      <c r="E83">
        <v>74300.8370688</v>
      </c>
      <c r="F83">
        <v>20.639121407999998</v>
      </c>
      <c r="G83" t="str">
        <v>Sheet column C</v>
      </c>
      <c r="H83">
        <v>34604.5508353818</v>
      </c>
      <c r="I83">
        <v>4363.889811385874</v>
      </c>
      <c r="J83">
        <v>0</v>
      </c>
      <c r="K83">
        <v>60</v>
      </c>
      <c r="L83">
        <v>158203.125</v>
      </c>
    </row>
    <row r="84">
      <c r="A84" t="str">
        <v/>
      </c>
      <c r="B84">
        <v>16</v>
      </c>
      <c r="C84">
        <v>1.0319560704</v>
      </c>
      <c r="D84">
        <v>1.2</v>
      </c>
      <c r="E84">
        <v>89161.00448255999</v>
      </c>
      <c r="F84">
        <v>24.7669456896</v>
      </c>
      <c r="G84" t="str">
        <v>Sheet column C</v>
      </c>
      <c r="H84">
        <v>47062.18913611925</v>
      </c>
      <c r="I84">
        <v>6654.931962363457</v>
      </c>
      <c r="J84">
        <v>0</v>
      </c>
      <c r="K84">
        <v>60</v>
      </c>
      <c r="L84">
        <v>174023.4375</v>
      </c>
    </row>
    <row r="85">
      <c r="A85" t="str">
        <v/>
      </c>
      <c r="B85">
        <v>17</v>
      </c>
      <c r="C85">
        <v>1.2383472844799999</v>
      </c>
      <c r="D85">
        <v>1.2</v>
      </c>
      <c r="E85">
        <v>106993.205379072</v>
      </c>
      <c r="F85">
        <v>29.72033482752</v>
      </c>
      <c r="G85" t="str">
        <v>Sheet column C</v>
      </c>
      <c r="H85">
        <v>64004.57722512217</v>
      </c>
      <c r="I85">
        <v>9370.144203007747</v>
      </c>
      <c r="J85">
        <v>0</v>
      </c>
      <c r="K85">
        <v>60</v>
      </c>
      <c r="L85">
        <v>191425.78125000003</v>
      </c>
    </row>
    <row r="86">
      <c r="A86" t="str">
        <v/>
      </c>
      <c r="B86">
        <v>18</v>
      </c>
      <c r="C86">
        <v>1.4860167413759997</v>
      </c>
      <c r="D86">
        <v>1.2</v>
      </c>
      <c r="E86">
        <v>128391.84645488637</v>
      </c>
      <c r="F86">
        <v>35.66440179302399</v>
      </c>
      <c r="G86" t="str">
        <v>Sheet column C</v>
      </c>
      <c r="H86">
        <v>87046.22502616614</v>
      </c>
      <c r="I86">
        <v>13193.163037834907</v>
      </c>
      <c r="J86">
        <v>0</v>
      </c>
      <c r="K86">
        <v>60</v>
      </c>
      <c r="L86">
        <v>210568.35937500006</v>
      </c>
    </row>
    <row r="87">
      <c r="A87" t="str">
        <v/>
      </c>
      <c r="B87">
        <v>19</v>
      </c>
      <c r="C87">
        <v>1.7832200896511996</v>
      </c>
      <c r="D87">
        <v>1.2</v>
      </c>
      <c r="E87">
        <v>154070.21574586365</v>
      </c>
      <c r="F87">
        <v>42.79728215162879</v>
      </c>
      <c r="G87" t="str">
        <v>Sheet column C</v>
      </c>
      <c r="H87">
        <v>118382.86603558593</v>
      </c>
      <c r="I87">
        <v>18575.973557271547</v>
      </c>
      <c r="J87">
        <v>0</v>
      </c>
      <c r="K87">
        <v>60</v>
      </c>
      <c r="L87">
        <v>231625.1953125001</v>
      </c>
    </row>
    <row r="88">
      <c r="A88" t="str">
        <v/>
      </c>
      <c r="B88">
        <v>20</v>
      </c>
      <c r="C88">
        <v>3.566440179302399</v>
      </c>
      <c r="D88">
        <v>2</v>
      </c>
      <c r="E88">
        <v>308140.4314917273</v>
      </c>
      <c r="F88">
        <v>85.59456430325758</v>
      </c>
      <c r="G88" t="str">
        <v>Sheet column C</v>
      </c>
      <c r="H88">
        <v>189412.5856569375</v>
      </c>
      <c r="I88">
        <v>26154.970768638337</v>
      </c>
      <c r="J88">
        <v>0</v>
      </c>
      <c r="K88">
        <v>120</v>
      </c>
      <c r="L88">
        <v>254787.71484375012</v>
      </c>
    </row>
    <row r="90">
      <c r="A90" t="str">
        <v>Department of B2B</v>
      </c>
      <c r="B90">
        <v>1</v>
      </c>
      <c r="C90">
        <v>0</v>
      </c>
      <c r="D90" t="str">
        <v/>
      </c>
      <c r="E90">
        <v>0</v>
      </c>
      <c r="F90">
        <v>0</v>
      </c>
      <c r="G90" t="str">
        <v>Thematic template (office_desk times)</v>
      </c>
      <c r="H90">
        <v>0</v>
      </c>
      <c r="I90">
        <v>0</v>
      </c>
      <c r="J90">
        <v>0</v>
      </c>
      <c r="K90">
        <v>5</v>
      </c>
      <c r="L90">
        <v>15</v>
      </c>
    </row>
    <row r="91">
      <c r="A91" t="str">
        <v/>
      </c>
      <c r="B91">
        <v>2</v>
      </c>
      <c r="C91">
        <v>0.001</v>
      </c>
      <c r="D91" t="str">
        <v/>
      </c>
      <c r="E91">
        <v>86.4</v>
      </c>
      <c r="F91">
        <v>0.024</v>
      </c>
      <c r="G91" t="str">
        <v>Thematic template (office_desk times)</v>
      </c>
      <c r="H91">
        <v>0</v>
      </c>
      <c r="I91">
        <v>0</v>
      </c>
      <c r="J91">
        <v>0</v>
      </c>
      <c r="K91">
        <v>6</v>
      </c>
      <c r="L91">
        <v>18.75</v>
      </c>
    </row>
    <row r="92">
      <c r="A92" t="str">
        <v/>
      </c>
      <c r="B92">
        <v>3</v>
      </c>
      <c r="C92">
        <v>0.0011</v>
      </c>
      <c r="D92" t="str">
        <v/>
      </c>
      <c r="E92">
        <v>95.04</v>
      </c>
      <c r="F92">
        <v>0.0264</v>
      </c>
      <c r="G92" t="str">
        <v>Thematic template (office_desk times)</v>
      </c>
      <c r="H92">
        <v>0</v>
      </c>
      <c r="I92">
        <v>0</v>
      </c>
      <c r="J92">
        <v>0</v>
      </c>
      <c r="K92">
        <v>8</v>
      </c>
      <c r="L92">
        <v>23.44</v>
      </c>
    </row>
    <row r="93">
      <c r="A93" t="str">
        <v/>
      </c>
      <c r="B93">
        <v>4</v>
      </c>
      <c r="C93">
        <v>0.0012100000000000001</v>
      </c>
      <c r="D93" t="str">
        <v/>
      </c>
      <c r="E93">
        <v>104.54400000000001</v>
      </c>
      <c r="F93">
        <v>0.029040000000000003</v>
      </c>
      <c r="G93" t="str">
        <v>Thematic template (office_desk times)</v>
      </c>
      <c r="H93">
        <v>0</v>
      </c>
      <c r="I93">
        <v>0</v>
      </c>
      <c r="J93">
        <v>0</v>
      </c>
      <c r="K93">
        <v>10</v>
      </c>
      <c r="L93">
        <v>29.3</v>
      </c>
    </row>
    <row r="94">
      <c r="A94" t="str">
        <v/>
      </c>
      <c r="B94">
        <v>5</v>
      </c>
      <c r="C94">
        <v>0.006050000000000001</v>
      </c>
      <c r="D94" t="str">
        <v/>
      </c>
      <c r="E94">
        <v>522.72</v>
      </c>
      <c r="F94">
        <v>0.14520000000000002</v>
      </c>
      <c r="G94" t="str">
        <v>Thematic template (office_desk times)</v>
      </c>
      <c r="H94">
        <v>0</v>
      </c>
      <c r="I94">
        <v>0</v>
      </c>
      <c r="J94">
        <v>0</v>
      </c>
      <c r="K94">
        <v>20</v>
      </c>
      <c r="L94">
        <v>58.59</v>
      </c>
    </row>
    <row r="95">
      <c r="A95" t="str">
        <v/>
      </c>
      <c r="B95">
        <v>6</v>
      </c>
      <c r="C95">
        <v>0.00726</v>
      </c>
      <c r="D95" t="str">
        <v/>
      </c>
      <c r="E95">
        <v>627.264</v>
      </c>
      <c r="F95">
        <v>0.17424</v>
      </c>
      <c r="G95" t="str">
        <v>Thematic template (office_desk times)</v>
      </c>
      <c r="H95">
        <v>0</v>
      </c>
      <c r="I95">
        <v>0</v>
      </c>
      <c r="J95">
        <v>0</v>
      </c>
      <c r="K95">
        <v>22</v>
      </c>
      <c r="L95">
        <v>73.24</v>
      </c>
    </row>
    <row r="96">
      <c r="A96" t="str">
        <v/>
      </c>
      <c r="B96">
        <v>7</v>
      </c>
      <c r="C96">
        <v>0.008712000000000001</v>
      </c>
      <c r="D96" t="str">
        <v/>
      </c>
      <c r="E96">
        <v>752.7168</v>
      </c>
      <c r="F96">
        <v>0.20908800000000002</v>
      </c>
      <c r="G96" t="str">
        <v>Thematic template (office_desk times)</v>
      </c>
      <c r="H96">
        <v>0</v>
      </c>
      <c r="I96">
        <v>0</v>
      </c>
      <c r="J96">
        <v>0</v>
      </c>
      <c r="K96">
        <v>25</v>
      </c>
      <c r="L96">
        <v>91.55</v>
      </c>
    </row>
    <row r="97">
      <c r="A97" t="str">
        <v/>
      </c>
      <c r="B97">
        <v>8</v>
      </c>
      <c r="C97">
        <v>0.0104544</v>
      </c>
      <c r="D97" t="str">
        <v/>
      </c>
      <c r="E97">
        <v>903.26016</v>
      </c>
      <c r="F97">
        <v>0.2509056</v>
      </c>
      <c r="G97" t="str">
        <v>Thematic template (office_desk times)</v>
      </c>
      <c r="H97">
        <v>0</v>
      </c>
      <c r="I97">
        <v>0</v>
      </c>
      <c r="J97">
        <v>0</v>
      </c>
      <c r="K97">
        <v>28</v>
      </c>
      <c r="L97">
        <v>114.44</v>
      </c>
    </row>
    <row r="98">
      <c r="A98" t="str">
        <v/>
      </c>
      <c r="B98">
        <v>9</v>
      </c>
      <c r="C98">
        <v>0.01254528</v>
      </c>
      <c r="D98" t="str">
        <v/>
      </c>
      <c r="E98">
        <v>1083.912192</v>
      </c>
      <c r="F98">
        <v>0.30108672000000003</v>
      </c>
      <c r="G98" t="str">
        <v>Thematic template (office_desk times)</v>
      </c>
      <c r="H98">
        <v>0</v>
      </c>
      <c r="I98">
        <v>0</v>
      </c>
      <c r="J98">
        <v>0</v>
      </c>
      <c r="K98">
        <v>31</v>
      </c>
      <c r="L98">
        <v>143.05</v>
      </c>
    </row>
    <row r="99">
      <c r="A99" t="str">
        <v/>
      </c>
      <c r="B99">
        <v>10</v>
      </c>
      <c r="C99">
        <v>0.05018112</v>
      </c>
      <c r="D99" t="str">
        <v/>
      </c>
      <c r="E99">
        <v>4335.648768</v>
      </c>
      <c r="F99">
        <v>1.2043468800000001</v>
      </c>
      <c r="G99" t="str">
        <v>Thematic template (office_desk times)</v>
      </c>
      <c r="H99">
        <v>0</v>
      </c>
      <c r="I99">
        <v>0</v>
      </c>
      <c r="J99">
        <v>0</v>
      </c>
      <c r="K99">
        <v>62</v>
      </c>
      <c r="L99">
        <v>286.1</v>
      </c>
    </row>
    <row r="100">
      <c r="A100" t="str">
        <v/>
      </c>
      <c r="B100">
        <v>11</v>
      </c>
      <c r="C100">
        <v>0.060217344</v>
      </c>
      <c r="D100" t="str">
        <v/>
      </c>
      <c r="E100">
        <v>5202.7785216</v>
      </c>
      <c r="F100">
        <v>1.445216256</v>
      </c>
      <c r="G100" t="str">
        <v>Thematic template (office_desk times)</v>
      </c>
      <c r="H100">
        <v>0</v>
      </c>
      <c r="I100">
        <v>0</v>
      </c>
      <c r="J100">
        <v>0</v>
      </c>
      <c r="K100">
        <v>75</v>
      </c>
      <c r="L100">
        <v>343.32</v>
      </c>
    </row>
    <row r="101">
      <c r="A101" t="str">
        <v/>
      </c>
      <c r="B101">
        <v>12</v>
      </c>
      <c r="C101">
        <v>0.07226081279999999</v>
      </c>
      <c r="D101" t="str">
        <v/>
      </c>
      <c r="E101">
        <v>6243.334225919999</v>
      </c>
      <c r="F101">
        <v>1.7342595071999998</v>
      </c>
      <c r="G101" t="str">
        <v>Thematic template (office_desk times)</v>
      </c>
      <c r="H101">
        <v>0</v>
      </c>
      <c r="I101">
        <v>0</v>
      </c>
      <c r="J101">
        <v>0</v>
      </c>
      <c r="K101">
        <v>83</v>
      </c>
      <c r="L101">
        <v>411.99</v>
      </c>
    </row>
    <row r="102">
      <c r="A102" t="str">
        <v/>
      </c>
      <c r="B102">
        <v>13</v>
      </c>
      <c r="C102">
        <v>0.08671297535999999</v>
      </c>
      <c r="D102" t="str">
        <v/>
      </c>
      <c r="E102">
        <v>7492.001071103999</v>
      </c>
      <c r="F102">
        <v>2.0811114086399995</v>
      </c>
      <c r="G102" t="str">
        <v>Thematic template (office_desk times)</v>
      </c>
      <c r="H102">
        <v>0</v>
      </c>
      <c r="I102">
        <v>0</v>
      </c>
      <c r="J102">
        <v>0</v>
      </c>
      <c r="K102">
        <v>92</v>
      </c>
      <c r="L102">
        <v>494.38</v>
      </c>
    </row>
    <row r="103">
      <c r="A103" t="str">
        <v/>
      </c>
      <c r="B103">
        <v>14</v>
      </c>
      <c r="C103">
        <v>0.10405557043199998</v>
      </c>
      <c r="D103" t="str">
        <v/>
      </c>
      <c r="E103">
        <v>8990.401285324799</v>
      </c>
      <c r="F103">
        <v>2.4973336903679995</v>
      </c>
      <c r="G103" t="str">
        <v>Thematic template (office_desk times)</v>
      </c>
      <c r="H103">
        <v>0</v>
      </c>
      <c r="I103">
        <v>0</v>
      </c>
      <c r="J103">
        <v>0</v>
      </c>
      <c r="K103">
        <v>102</v>
      </c>
      <c r="L103">
        <v>593.26</v>
      </c>
    </row>
    <row r="104">
      <c r="A104" t="str">
        <v/>
      </c>
      <c r="B104">
        <v>15</v>
      </c>
      <c r="C104">
        <v>0.26013892607999994</v>
      </c>
      <c r="D104" t="str">
        <v/>
      </c>
      <c r="E104">
        <v>22476.003213311997</v>
      </c>
      <c r="F104">
        <v>6.243334225919998</v>
      </c>
      <c r="G104" t="str">
        <v>Thematic template (office_desk times)</v>
      </c>
      <c r="H104">
        <v>0</v>
      </c>
      <c r="I104">
        <v>0</v>
      </c>
      <c r="J104">
        <v>0</v>
      </c>
      <c r="K104">
        <v>204</v>
      </c>
      <c r="L104">
        <v>1186.52</v>
      </c>
    </row>
    <row r="105">
      <c r="A105" t="str">
        <v/>
      </c>
      <c r="B105">
        <v>16</v>
      </c>
      <c r="C105">
        <v>0.31216671129599993</v>
      </c>
      <c r="D105" t="str">
        <v/>
      </c>
      <c r="E105">
        <v>26971.203855974392</v>
      </c>
      <c r="F105">
        <v>7.492001071103998</v>
      </c>
      <c r="G105" t="str">
        <v>Thematic template (office_desk times)</v>
      </c>
      <c r="H105">
        <v>0</v>
      </c>
      <c r="I105">
        <v>0</v>
      </c>
      <c r="J105">
        <v>0</v>
      </c>
      <c r="K105">
        <v>225</v>
      </c>
      <c r="L105">
        <v>1305.18</v>
      </c>
    </row>
    <row r="106">
      <c r="A106" t="str">
        <v/>
      </c>
      <c r="B106">
        <v>17</v>
      </c>
      <c r="C106">
        <v>0.37460005355519993</v>
      </c>
      <c r="D106" t="str">
        <v/>
      </c>
      <c r="E106">
        <v>32365.444627169272</v>
      </c>
      <c r="F106">
        <v>8.990401285324799</v>
      </c>
      <c r="G106" t="str">
        <v>Thematic template (office_desk times)</v>
      </c>
      <c r="H106">
        <v>0</v>
      </c>
      <c r="I106">
        <v>0</v>
      </c>
      <c r="J106">
        <v>0</v>
      </c>
      <c r="K106">
        <v>248</v>
      </c>
      <c r="L106">
        <v>1435.69</v>
      </c>
    </row>
    <row r="107">
      <c r="A107" t="str">
        <v/>
      </c>
      <c r="B107">
        <v>18</v>
      </c>
      <c r="C107">
        <v>0.44952006426623986</v>
      </c>
      <c r="D107" t="str">
        <v/>
      </c>
      <c r="E107">
        <v>38838.53355260313</v>
      </c>
      <c r="F107">
        <v>10.788481542389757</v>
      </c>
      <c r="G107" t="str">
        <v>Thematic template (office_desk times)</v>
      </c>
      <c r="H107">
        <v>0</v>
      </c>
      <c r="I107">
        <v>0</v>
      </c>
      <c r="J107">
        <v>0</v>
      </c>
      <c r="K107">
        <v>273</v>
      </c>
      <c r="L107">
        <v>1579.26</v>
      </c>
    </row>
    <row r="108">
      <c r="A108" t="str">
        <v/>
      </c>
      <c r="B108">
        <v>19</v>
      </c>
      <c r="C108">
        <v>0.5394240771194879</v>
      </c>
      <c r="D108" t="str">
        <v/>
      </c>
      <c r="E108">
        <v>46606.24026312376</v>
      </c>
      <c r="F108">
        <v>12.94617785086771</v>
      </c>
      <c r="G108" t="str">
        <v>Thematic template (office_desk times)</v>
      </c>
      <c r="H108">
        <v>0</v>
      </c>
      <c r="I108">
        <v>0</v>
      </c>
      <c r="J108">
        <v>0</v>
      </c>
      <c r="K108">
        <v>301</v>
      </c>
      <c r="L108">
        <v>1737.19</v>
      </c>
    </row>
    <row r="109">
      <c r="A109" t="str">
        <v/>
      </c>
      <c r="B109">
        <v>20</v>
      </c>
      <c r="C109">
        <v>1.0788481542389758</v>
      </c>
      <c r="D109" t="str">
        <v/>
      </c>
      <c r="E109">
        <v>93212.48052624751</v>
      </c>
      <c r="F109">
        <v>25.89235570173542</v>
      </c>
      <c r="G109" t="str">
        <v>Thematic template (office_desk times)</v>
      </c>
      <c r="H109">
        <v>0</v>
      </c>
      <c r="I109">
        <v>0</v>
      </c>
      <c r="J109">
        <v>0</v>
      </c>
      <c r="K109">
        <v>602</v>
      </c>
      <c r="L109">
        <v>1910.91</v>
      </c>
    </row>
    <row r="111">
      <c r="A111" t="str">
        <v>Break room</v>
      </c>
      <c r="B111">
        <v>1</v>
      </c>
      <c r="C111">
        <v>0</v>
      </c>
      <c r="D111" t="str">
        <v/>
      </c>
      <c r="E111">
        <v>0</v>
      </c>
      <c r="F111">
        <v>0</v>
      </c>
      <c r="G111" t="str">
        <v>Thematic template (office_supply times)</v>
      </c>
      <c r="H111">
        <v>0</v>
      </c>
      <c r="I111">
        <v>0</v>
      </c>
      <c r="J111">
        <v>0</v>
      </c>
      <c r="K111">
        <v>2</v>
      </c>
      <c r="L111">
        <v>25</v>
      </c>
    </row>
    <row r="112">
      <c r="A112" t="str">
        <v/>
      </c>
      <c r="B112">
        <v>2</v>
      </c>
      <c r="C112">
        <v>0.001</v>
      </c>
      <c r="D112" t="str">
        <v/>
      </c>
      <c r="E112">
        <v>86.4</v>
      </c>
      <c r="F112">
        <v>0.024</v>
      </c>
      <c r="G112" t="str">
        <v>Thematic template (office_supply times)</v>
      </c>
      <c r="H112">
        <v>0</v>
      </c>
      <c r="I112">
        <v>0</v>
      </c>
      <c r="J112">
        <v>0</v>
      </c>
      <c r="K112">
        <v>3</v>
      </c>
      <c r="L112">
        <v>31.25</v>
      </c>
    </row>
    <row r="113">
      <c r="A113" t="str">
        <v/>
      </c>
      <c r="B113">
        <v>3</v>
      </c>
      <c r="C113">
        <v>0.002</v>
      </c>
      <c r="D113" t="str">
        <v/>
      </c>
      <c r="E113">
        <v>172.8</v>
      </c>
      <c r="F113">
        <v>0.048</v>
      </c>
      <c r="G113" t="str">
        <v>Thematic template (office_supply times)</v>
      </c>
      <c r="H113">
        <v>0</v>
      </c>
      <c r="I113">
        <v>0</v>
      </c>
      <c r="J113">
        <v>0</v>
      </c>
      <c r="K113">
        <v>4</v>
      </c>
      <c r="L113">
        <v>39.06</v>
      </c>
    </row>
    <row r="114">
      <c r="A114" t="str">
        <v/>
      </c>
      <c r="B114">
        <v>4</v>
      </c>
      <c r="C114">
        <v>0.004</v>
      </c>
      <c r="D114" t="str">
        <v/>
      </c>
      <c r="E114">
        <v>345.6</v>
      </c>
      <c r="F114">
        <v>0.096</v>
      </c>
      <c r="G114" t="str">
        <v>Thematic template (office_supply times)</v>
      </c>
      <c r="H114">
        <v>0</v>
      </c>
      <c r="I114">
        <v>0</v>
      </c>
      <c r="J114">
        <v>0</v>
      </c>
      <c r="K114">
        <v>5</v>
      </c>
      <c r="L114">
        <v>48.83</v>
      </c>
    </row>
    <row r="115">
      <c r="A115" t="str">
        <v/>
      </c>
      <c r="B115">
        <v>5</v>
      </c>
      <c r="C115">
        <v>0.02</v>
      </c>
      <c r="D115" t="str">
        <v/>
      </c>
      <c r="E115">
        <v>1728</v>
      </c>
      <c r="F115">
        <v>0.48</v>
      </c>
      <c r="G115" t="str">
        <v>Thematic template (office_supply times)</v>
      </c>
      <c r="H115">
        <v>0</v>
      </c>
      <c r="I115">
        <v>0</v>
      </c>
      <c r="J115">
        <v>0</v>
      </c>
      <c r="K115">
        <v>10</v>
      </c>
      <c r="L115">
        <v>97.66</v>
      </c>
    </row>
    <row r="116">
      <c r="A116" t="str">
        <v/>
      </c>
      <c r="B116">
        <v>6</v>
      </c>
      <c r="C116">
        <v>0.024000000000000004</v>
      </c>
      <c r="D116" t="str">
        <v/>
      </c>
      <c r="E116">
        <v>2073.6000000000004</v>
      </c>
      <c r="F116">
        <v>0.5760000000000001</v>
      </c>
      <c r="G116" t="str">
        <v>Thematic template (office_supply times)</v>
      </c>
      <c r="H116">
        <v>0</v>
      </c>
      <c r="I116">
        <v>0</v>
      </c>
      <c r="J116">
        <v>0</v>
      </c>
      <c r="K116">
        <v>13</v>
      </c>
      <c r="L116">
        <v>122.07</v>
      </c>
    </row>
    <row r="117">
      <c r="A117" t="str">
        <v/>
      </c>
      <c r="B117">
        <v>7</v>
      </c>
      <c r="C117">
        <v>0.028800000000000003</v>
      </c>
      <c r="D117" t="str">
        <v/>
      </c>
      <c r="E117">
        <v>2488.32</v>
      </c>
      <c r="F117">
        <v>0.6912</v>
      </c>
      <c r="G117" t="str">
        <v>Thematic template (office_supply times)</v>
      </c>
      <c r="H117">
        <v>0</v>
      </c>
      <c r="I117">
        <v>0</v>
      </c>
      <c r="J117">
        <v>0</v>
      </c>
      <c r="K117">
        <v>17</v>
      </c>
      <c r="L117">
        <v>152.59</v>
      </c>
    </row>
    <row r="118">
      <c r="A118" t="str">
        <v/>
      </c>
      <c r="B118">
        <v>8</v>
      </c>
      <c r="C118">
        <v>0.03456</v>
      </c>
      <c r="D118" t="str">
        <v/>
      </c>
      <c r="E118">
        <v>2985.984</v>
      </c>
      <c r="F118">
        <v>0.82944</v>
      </c>
      <c r="G118" t="str">
        <v>Thematic template (office_supply times)</v>
      </c>
      <c r="H118">
        <v>0</v>
      </c>
      <c r="I118">
        <v>0</v>
      </c>
      <c r="J118">
        <v>0</v>
      </c>
      <c r="K118">
        <v>22</v>
      </c>
      <c r="L118">
        <v>190.73</v>
      </c>
    </row>
    <row r="119">
      <c r="A119" t="str">
        <v/>
      </c>
      <c r="B119">
        <v>9</v>
      </c>
      <c r="C119">
        <v>0.041472</v>
      </c>
      <c r="D119" t="str">
        <v/>
      </c>
      <c r="E119">
        <v>3583.1808</v>
      </c>
      <c r="F119">
        <v>0.995328</v>
      </c>
      <c r="G119" t="str">
        <v>Thematic template (office_supply times)</v>
      </c>
      <c r="H119">
        <v>0</v>
      </c>
      <c r="I119">
        <v>0</v>
      </c>
      <c r="J119">
        <v>0</v>
      </c>
      <c r="K119">
        <v>28</v>
      </c>
      <c r="L119">
        <v>238.42</v>
      </c>
    </row>
    <row r="120">
      <c r="A120" t="str">
        <v/>
      </c>
      <c r="B120">
        <v>10</v>
      </c>
      <c r="C120">
        <v>0.165888</v>
      </c>
      <c r="D120" t="str">
        <v/>
      </c>
      <c r="E120">
        <v>14332.7232</v>
      </c>
      <c r="F120">
        <v>3.981312</v>
      </c>
      <c r="G120" t="str">
        <v>Thematic template (office_supply times)</v>
      </c>
      <c r="H120">
        <v>0</v>
      </c>
      <c r="I120">
        <v>0</v>
      </c>
      <c r="J120">
        <v>0</v>
      </c>
      <c r="K120">
        <v>56</v>
      </c>
      <c r="L120">
        <v>476.84</v>
      </c>
    </row>
    <row r="121">
      <c r="A121" t="str">
        <v/>
      </c>
      <c r="B121">
        <v>11</v>
      </c>
      <c r="C121">
        <v>0.19906560000000004</v>
      </c>
      <c r="D121" t="str">
        <v/>
      </c>
      <c r="E121">
        <v>17199.267840000004</v>
      </c>
      <c r="F121">
        <v>4.777574400000001</v>
      </c>
      <c r="G121" t="str">
        <v>Thematic template (office_supply times)</v>
      </c>
      <c r="H121">
        <v>0</v>
      </c>
      <c r="I121">
        <v>0</v>
      </c>
      <c r="J121">
        <v>0</v>
      </c>
      <c r="K121">
        <v>59</v>
      </c>
      <c r="L121">
        <v>572.2</v>
      </c>
    </row>
    <row r="122">
      <c r="A122" t="str">
        <v/>
      </c>
      <c r="B122">
        <v>12</v>
      </c>
      <c r="C122">
        <v>0.23887872</v>
      </c>
      <c r="D122" t="str">
        <v/>
      </c>
      <c r="E122">
        <v>20639.121408</v>
      </c>
      <c r="F122">
        <v>5.73308928</v>
      </c>
      <c r="G122" t="str">
        <v>Thematic template (office_supply times)</v>
      </c>
      <c r="H122">
        <v>0</v>
      </c>
      <c r="I122">
        <v>0</v>
      </c>
      <c r="J122">
        <v>0</v>
      </c>
      <c r="K122">
        <v>62</v>
      </c>
      <c r="L122">
        <v>686.65</v>
      </c>
    </row>
    <row r="123">
      <c r="A123" t="str">
        <v/>
      </c>
      <c r="B123">
        <v>13</v>
      </c>
      <c r="C123">
        <v>0.286654464</v>
      </c>
      <c r="D123" t="str">
        <v/>
      </c>
      <c r="E123">
        <v>24766.9456896</v>
      </c>
      <c r="F123">
        <v>6.879707136</v>
      </c>
      <c r="G123" t="str">
        <v>Thematic template (office_supply times)</v>
      </c>
      <c r="H123">
        <v>0</v>
      </c>
      <c r="I123">
        <v>0</v>
      </c>
      <c r="J123">
        <v>0</v>
      </c>
      <c r="K123">
        <v>66</v>
      </c>
      <c r="L123">
        <v>823.97</v>
      </c>
    </row>
    <row r="124">
      <c r="A124" t="str">
        <v/>
      </c>
      <c r="B124">
        <v>14</v>
      </c>
      <c r="C124">
        <v>0.3439853568</v>
      </c>
      <c r="D124" t="str">
        <v/>
      </c>
      <c r="E124">
        <v>29720.334827519997</v>
      </c>
      <c r="F124">
        <v>8.2556485632</v>
      </c>
      <c r="G124" t="str">
        <v>Thematic template (office_supply times)</v>
      </c>
      <c r="H124">
        <v>0</v>
      </c>
      <c r="I124">
        <v>0</v>
      </c>
      <c r="J124">
        <v>0</v>
      </c>
      <c r="K124">
        <v>70</v>
      </c>
      <c r="L124">
        <v>988.77</v>
      </c>
    </row>
    <row r="125">
      <c r="A125" t="str">
        <v/>
      </c>
      <c r="B125">
        <v>15</v>
      </c>
      <c r="C125">
        <v>0.8599633919999999</v>
      </c>
      <c r="D125" t="str">
        <v/>
      </c>
      <c r="E125">
        <v>74300.8370688</v>
      </c>
      <c r="F125">
        <v>20.639121407999998</v>
      </c>
      <c r="G125" t="str">
        <v>Thematic template (office_supply times)</v>
      </c>
      <c r="H125">
        <v>0</v>
      </c>
      <c r="I125">
        <v>0</v>
      </c>
      <c r="J125">
        <v>0</v>
      </c>
      <c r="K125">
        <v>140</v>
      </c>
      <c r="L125">
        <v>1977.54</v>
      </c>
    </row>
    <row r="126">
      <c r="A126" t="str">
        <v/>
      </c>
      <c r="B126">
        <v>16</v>
      </c>
      <c r="C126">
        <v>1.0319560704</v>
      </c>
      <c r="D126" t="str">
        <v/>
      </c>
      <c r="E126">
        <v>89161.00448255999</v>
      </c>
      <c r="F126">
        <v>24.7669456896</v>
      </c>
      <c r="G126" t="str">
        <v>Thematic template (office_supply times)</v>
      </c>
      <c r="H126">
        <v>0</v>
      </c>
      <c r="I126">
        <v>0</v>
      </c>
      <c r="J126">
        <v>0</v>
      </c>
      <c r="K126">
        <v>147</v>
      </c>
      <c r="L126">
        <v>2175.29</v>
      </c>
    </row>
    <row r="127">
      <c r="A127" t="str">
        <v/>
      </c>
      <c r="B127">
        <v>17</v>
      </c>
      <c r="C127">
        <v>1.2383472844799999</v>
      </c>
      <c r="D127" t="str">
        <v/>
      </c>
      <c r="E127">
        <v>106993.205379072</v>
      </c>
      <c r="F127">
        <v>29.72033482752</v>
      </c>
      <c r="G127" t="str">
        <v>Thematic template (office_supply times)</v>
      </c>
      <c r="H127">
        <v>0</v>
      </c>
      <c r="I127">
        <v>0</v>
      </c>
      <c r="J127">
        <v>0</v>
      </c>
      <c r="K127">
        <v>155</v>
      </c>
      <c r="L127">
        <v>2392.82</v>
      </c>
    </row>
    <row r="128">
      <c r="A128" t="str">
        <v/>
      </c>
      <c r="B128">
        <v>18</v>
      </c>
      <c r="C128">
        <v>1.4860167413759997</v>
      </c>
      <c r="D128" t="str">
        <v/>
      </c>
      <c r="E128">
        <v>128391.84645488637</v>
      </c>
      <c r="F128">
        <v>35.66440179302399</v>
      </c>
      <c r="G128" t="str">
        <v>Thematic template (office_supply times)</v>
      </c>
      <c r="H128">
        <v>0</v>
      </c>
      <c r="I128">
        <v>0</v>
      </c>
      <c r="J128">
        <v>0</v>
      </c>
      <c r="K128">
        <v>163</v>
      </c>
      <c r="L128">
        <v>2632.1</v>
      </c>
    </row>
    <row r="129">
      <c r="A129" t="str">
        <v/>
      </c>
      <c r="B129">
        <v>19</v>
      </c>
      <c r="C129">
        <v>1.7832200896511996</v>
      </c>
      <c r="D129" t="str">
        <v/>
      </c>
      <c r="E129">
        <v>154070.21574586365</v>
      </c>
      <c r="F129">
        <v>42.79728215162879</v>
      </c>
      <c r="G129" t="str">
        <v>Thematic template (office_supply times)</v>
      </c>
      <c r="H129">
        <v>0</v>
      </c>
      <c r="I129">
        <v>0</v>
      </c>
      <c r="J129">
        <v>0</v>
      </c>
      <c r="K129">
        <v>172</v>
      </c>
      <c r="L129">
        <v>2895.31</v>
      </c>
    </row>
    <row r="130">
      <c r="A130" t="str">
        <v/>
      </c>
      <c r="B130">
        <v>20</v>
      </c>
      <c r="C130">
        <v>3.566440179302399</v>
      </c>
      <c r="D130" t="str">
        <v/>
      </c>
      <c r="E130">
        <v>308140.4314917273</v>
      </c>
      <c r="F130">
        <v>85.59456430325758</v>
      </c>
      <c r="G130" t="str">
        <v>Thematic template (office_supply times)</v>
      </c>
      <c r="H130">
        <v>0</v>
      </c>
      <c r="I130">
        <v>0</v>
      </c>
      <c r="J130">
        <v>0</v>
      </c>
      <c r="K130">
        <v>190</v>
      </c>
      <c r="L130">
        <v>3184.85</v>
      </c>
    </row>
    <row r="132">
      <c r="A132" t="str">
        <v>Social Media</v>
      </c>
      <c r="B132">
        <v>1</v>
      </c>
      <c r="C132">
        <v>0</v>
      </c>
      <c r="D132" t="str">
        <v/>
      </c>
      <c r="E132">
        <v>0</v>
      </c>
      <c r="F132">
        <v>0</v>
      </c>
      <c r="G132" t="str">
        <v>Thematic template (office_supply times)</v>
      </c>
      <c r="H132">
        <v>0</v>
      </c>
      <c r="I132">
        <v>0</v>
      </c>
      <c r="J132">
        <v>0</v>
      </c>
      <c r="K132">
        <v>2</v>
      </c>
      <c r="L132">
        <v>8</v>
      </c>
    </row>
    <row r="133">
      <c r="A133" t="str">
        <v/>
      </c>
      <c r="B133">
        <v>2</v>
      </c>
      <c r="C133">
        <v>0.001</v>
      </c>
      <c r="D133" t="str">
        <v/>
      </c>
      <c r="E133">
        <v>86.4</v>
      </c>
      <c r="F133">
        <v>0.024</v>
      </c>
      <c r="G133" t="str">
        <v>Thematic template (office_supply times)</v>
      </c>
      <c r="H133">
        <v>0</v>
      </c>
      <c r="I133">
        <v>0</v>
      </c>
      <c r="J133">
        <v>0</v>
      </c>
      <c r="K133">
        <v>3</v>
      </c>
      <c r="L133">
        <v>10</v>
      </c>
    </row>
    <row r="134">
      <c r="A134" t="str">
        <v/>
      </c>
      <c r="B134">
        <v>3</v>
      </c>
      <c r="C134">
        <v>0.002</v>
      </c>
      <c r="D134" t="str">
        <v/>
      </c>
      <c r="E134">
        <v>172.8</v>
      </c>
      <c r="F134">
        <v>0.048</v>
      </c>
      <c r="G134" t="str">
        <v>Thematic template (office_supply times)</v>
      </c>
      <c r="H134">
        <v>0</v>
      </c>
      <c r="I134">
        <v>0</v>
      </c>
      <c r="J134">
        <v>0</v>
      </c>
      <c r="K134">
        <v>4</v>
      </c>
      <c r="L134">
        <v>12.5</v>
      </c>
    </row>
    <row r="135">
      <c r="A135" t="str">
        <v/>
      </c>
      <c r="B135">
        <v>4</v>
      </c>
      <c r="C135">
        <v>0.004</v>
      </c>
      <c r="D135" t="str">
        <v/>
      </c>
      <c r="E135">
        <v>345.6</v>
      </c>
      <c r="F135">
        <v>0.096</v>
      </c>
      <c r="G135" t="str">
        <v>Thematic template (office_supply times)</v>
      </c>
      <c r="H135">
        <v>0</v>
      </c>
      <c r="I135">
        <v>0</v>
      </c>
      <c r="J135">
        <v>0</v>
      </c>
      <c r="K135">
        <v>5</v>
      </c>
      <c r="L135">
        <v>15.63</v>
      </c>
    </row>
    <row r="136">
      <c r="A136" t="str">
        <v/>
      </c>
      <c r="B136">
        <v>5</v>
      </c>
      <c r="C136">
        <v>0.02</v>
      </c>
      <c r="D136" t="str">
        <v/>
      </c>
      <c r="E136">
        <v>1728</v>
      </c>
      <c r="F136">
        <v>0.48</v>
      </c>
      <c r="G136" t="str">
        <v>Thematic template (office_supply times)</v>
      </c>
      <c r="H136">
        <v>0</v>
      </c>
      <c r="I136">
        <v>0</v>
      </c>
      <c r="J136">
        <v>0</v>
      </c>
      <c r="K136">
        <v>10</v>
      </c>
      <c r="L136">
        <v>31.25</v>
      </c>
    </row>
    <row r="137">
      <c r="A137" t="str">
        <v/>
      </c>
      <c r="B137">
        <v>6</v>
      </c>
      <c r="C137">
        <v>0.024000000000000004</v>
      </c>
      <c r="D137" t="str">
        <v/>
      </c>
      <c r="E137">
        <v>2073.6000000000004</v>
      </c>
      <c r="F137">
        <v>0.5760000000000001</v>
      </c>
      <c r="G137" t="str">
        <v>Thematic template (office_supply times)</v>
      </c>
      <c r="H137">
        <v>0</v>
      </c>
      <c r="I137">
        <v>0</v>
      </c>
      <c r="J137">
        <v>0</v>
      </c>
      <c r="K137">
        <v>13</v>
      </c>
      <c r="L137">
        <v>39.06</v>
      </c>
    </row>
    <row r="138">
      <c r="A138" t="str">
        <v/>
      </c>
      <c r="B138">
        <v>7</v>
      </c>
      <c r="C138">
        <v>0.028800000000000003</v>
      </c>
      <c r="D138" t="str">
        <v/>
      </c>
      <c r="E138">
        <v>2488.32</v>
      </c>
      <c r="F138">
        <v>0.6912</v>
      </c>
      <c r="G138" t="str">
        <v>Thematic template (office_supply times)</v>
      </c>
      <c r="H138">
        <v>0</v>
      </c>
      <c r="I138">
        <v>0</v>
      </c>
      <c r="J138">
        <v>0</v>
      </c>
      <c r="K138">
        <v>17</v>
      </c>
      <c r="L138">
        <v>48.83</v>
      </c>
    </row>
    <row r="139">
      <c r="A139" t="str">
        <v/>
      </c>
      <c r="B139">
        <v>8</v>
      </c>
      <c r="C139">
        <v>0.03456</v>
      </c>
      <c r="D139" t="str">
        <v/>
      </c>
      <c r="E139">
        <v>2985.984</v>
      </c>
      <c r="F139">
        <v>0.82944</v>
      </c>
      <c r="G139" t="str">
        <v>Thematic template (office_supply times)</v>
      </c>
      <c r="H139">
        <v>0</v>
      </c>
      <c r="I139">
        <v>0</v>
      </c>
      <c r="J139">
        <v>0</v>
      </c>
      <c r="K139">
        <v>22</v>
      </c>
      <c r="L139">
        <v>61.04</v>
      </c>
    </row>
    <row r="140">
      <c r="A140" t="str">
        <v/>
      </c>
      <c r="B140">
        <v>9</v>
      </c>
      <c r="C140">
        <v>0.041472</v>
      </c>
      <c r="D140" t="str">
        <v/>
      </c>
      <c r="E140">
        <v>3583.1808</v>
      </c>
      <c r="F140">
        <v>0.995328</v>
      </c>
      <c r="G140" t="str">
        <v>Thematic template (office_supply times)</v>
      </c>
      <c r="H140">
        <v>0</v>
      </c>
      <c r="I140">
        <v>0</v>
      </c>
      <c r="J140">
        <v>0</v>
      </c>
      <c r="K140">
        <v>28</v>
      </c>
      <c r="L140">
        <v>76.29</v>
      </c>
    </row>
    <row r="141">
      <c r="A141" t="str">
        <v/>
      </c>
      <c r="B141">
        <v>10</v>
      </c>
      <c r="C141">
        <v>0.165888</v>
      </c>
      <c r="D141" t="str">
        <v/>
      </c>
      <c r="E141">
        <v>14332.7232</v>
      </c>
      <c r="F141">
        <v>3.981312</v>
      </c>
      <c r="G141" t="str">
        <v>Thematic template (office_supply times)</v>
      </c>
      <c r="H141">
        <v>0</v>
      </c>
      <c r="I141">
        <v>0</v>
      </c>
      <c r="J141">
        <v>0</v>
      </c>
      <c r="K141">
        <v>56</v>
      </c>
      <c r="L141">
        <v>152.59</v>
      </c>
    </row>
    <row r="142">
      <c r="A142" t="str">
        <v/>
      </c>
      <c r="B142">
        <v>11</v>
      </c>
      <c r="C142">
        <v>0.19906560000000004</v>
      </c>
      <c r="D142" t="str">
        <v/>
      </c>
      <c r="E142">
        <v>17199.267840000004</v>
      </c>
      <c r="F142">
        <v>4.777574400000001</v>
      </c>
      <c r="G142" t="str">
        <v>Thematic template (office_supply times)</v>
      </c>
      <c r="H142">
        <v>0</v>
      </c>
      <c r="I142">
        <v>0</v>
      </c>
      <c r="J142">
        <v>0</v>
      </c>
      <c r="K142">
        <v>59</v>
      </c>
      <c r="L142">
        <v>183.11</v>
      </c>
    </row>
    <row r="143">
      <c r="A143" t="str">
        <v/>
      </c>
      <c r="B143">
        <v>12</v>
      </c>
      <c r="C143">
        <v>0.23887872</v>
      </c>
      <c r="D143" t="str">
        <v/>
      </c>
      <c r="E143">
        <v>20639.121408</v>
      </c>
      <c r="F143">
        <v>5.73308928</v>
      </c>
      <c r="G143" t="str">
        <v>Thematic template (office_supply times)</v>
      </c>
      <c r="H143">
        <v>0</v>
      </c>
      <c r="I143">
        <v>0</v>
      </c>
      <c r="J143">
        <v>0</v>
      </c>
      <c r="K143">
        <v>62</v>
      </c>
      <c r="L143">
        <v>219.73</v>
      </c>
    </row>
    <row r="144">
      <c r="A144" t="str">
        <v/>
      </c>
      <c r="B144">
        <v>13</v>
      </c>
      <c r="C144">
        <v>0.286654464</v>
      </c>
      <c r="D144" t="str">
        <v/>
      </c>
      <c r="E144">
        <v>24766.9456896</v>
      </c>
      <c r="F144">
        <v>6.879707136</v>
      </c>
      <c r="G144" t="str">
        <v>Thematic template (office_supply times)</v>
      </c>
      <c r="H144">
        <v>0</v>
      </c>
      <c r="I144">
        <v>0</v>
      </c>
      <c r="J144">
        <v>0</v>
      </c>
      <c r="K144">
        <v>66</v>
      </c>
      <c r="L144">
        <v>263.67</v>
      </c>
    </row>
    <row r="145">
      <c r="A145" t="str">
        <v/>
      </c>
      <c r="B145">
        <v>14</v>
      </c>
      <c r="C145">
        <v>0.3439853568</v>
      </c>
      <c r="D145" t="str">
        <v/>
      </c>
      <c r="E145">
        <v>29720.334827519997</v>
      </c>
      <c r="F145">
        <v>8.2556485632</v>
      </c>
      <c r="G145" t="str">
        <v>Thematic template (office_supply times)</v>
      </c>
      <c r="H145">
        <v>0</v>
      </c>
      <c r="I145">
        <v>0</v>
      </c>
      <c r="J145">
        <v>0</v>
      </c>
      <c r="K145">
        <v>70</v>
      </c>
      <c r="L145">
        <v>316.41</v>
      </c>
    </row>
    <row r="146">
      <c r="A146" t="str">
        <v/>
      </c>
      <c r="B146">
        <v>15</v>
      </c>
      <c r="C146">
        <v>0.8599633919999999</v>
      </c>
      <c r="D146" t="str">
        <v/>
      </c>
      <c r="E146">
        <v>74300.8370688</v>
      </c>
      <c r="F146">
        <v>20.639121407999998</v>
      </c>
      <c r="G146" t="str">
        <v>Thematic template (office_supply times)</v>
      </c>
      <c r="H146">
        <v>0</v>
      </c>
      <c r="I146">
        <v>0</v>
      </c>
      <c r="J146">
        <v>0</v>
      </c>
      <c r="K146">
        <v>140</v>
      </c>
      <c r="L146">
        <v>632.81</v>
      </c>
    </row>
    <row r="147">
      <c r="A147" t="str">
        <v/>
      </c>
      <c r="B147">
        <v>16</v>
      </c>
      <c r="C147">
        <v>1.0319560704</v>
      </c>
      <c r="D147" t="str">
        <v/>
      </c>
      <c r="E147">
        <v>89161.00448255999</v>
      </c>
      <c r="F147">
        <v>24.7669456896</v>
      </c>
      <c r="G147" t="str">
        <v>Thematic template (office_supply times)</v>
      </c>
      <c r="H147">
        <v>0</v>
      </c>
      <c r="I147">
        <v>0</v>
      </c>
      <c r="J147">
        <v>0</v>
      </c>
      <c r="K147">
        <v>147</v>
      </c>
      <c r="L147">
        <v>696.09</v>
      </c>
    </row>
    <row r="148">
      <c r="A148" t="str">
        <v/>
      </c>
      <c r="B148">
        <v>17</v>
      </c>
      <c r="C148">
        <v>1.2383472844799999</v>
      </c>
      <c r="D148" t="str">
        <v/>
      </c>
      <c r="E148">
        <v>106993.205379072</v>
      </c>
      <c r="F148">
        <v>29.72033482752</v>
      </c>
      <c r="G148" t="str">
        <v>Thematic template (office_supply times)</v>
      </c>
      <c r="H148">
        <v>0</v>
      </c>
      <c r="I148">
        <v>0</v>
      </c>
      <c r="J148">
        <v>0</v>
      </c>
      <c r="K148">
        <v>155</v>
      </c>
      <c r="L148">
        <v>765.7</v>
      </c>
    </row>
    <row r="149">
      <c r="A149" t="str">
        <v/>
      </c>
      <c r="B149">
        <v>18</v>
      </c>
      <c r="C149">
        <v>1.4860167413759997</v>
      </c>
      <c r="D149" t="str">
        <v/>
      </c>
      <c r="E149">
        <v>128391.84645488637</v>
      </c>
      <c r="F149">
        <v>35.66440179302399</v>
      </c>
      <c r="G149" t="str">
        <v>Thematic template (office_supply times)</v>
      </c>
      <c r="H149">
        <v>0</v>
      </c>
      <c r="I149">
        <v>0</v>
      </c>
      <c r="J149">
        <v>0</v>
      </c>
      <c r="K149">
        <v>163</v>
      </c>
      <c r="L149">
        <v>842.27</v>
      </c>
    </row>
    <row r="150">
      <c r="A150" t="str">
        <v/>
      </c>
      <c r="B150">
        <v>19</v>
      </c>
      <c r="C150">
        <v>1.7832200896511996</v>
      </c>
      <c r="D150" t="str">
        <v/>
      </c>
      <c r="E150">
        <v>154070.21574586365</v>
      </c>
      <c r="F150">
        <v>42.79728215162879</v>
      </c>
      <c r="G150" t="str">
        <v>Thematic template (office_supply times)</v>
      </c>
      <c r="H150">
        <v>0</v>
      </c>
      <c r="I150">
        <v>0</v>
      </c>
      <c r="J150">
        <v>0</v>
      </c>
      <c r="K150">
        <v>172</v>
      </c>
      <c r="L150">
        <v>926.5</v>
      </c>
    </row>
    <row r="151">
      <c r="A151" t="str">
        <v/>
      </c>
      <c r="B151">
        <v>20</v>
      </c>
      <c r="C151">
        <v>3.566440179302399</v>
      </c>
      <c r="D151" t="str">
        <v/>
      </c>
      <c r="E151">
        <v>308140.4314917273</v>
      </c>
      <c r="F151">
        <v>85.59456430325758</v>
      </c>
      <c r="G151" t="str">
        <v>Thematic template (office_supply times)</v>
      </c>
      <c r="H151">
        <v>0</v>
      </c>
      <c r="I151">
        <v>0</v>
      </c>
      <c r="J151">
        <v>0</v>
      </c>
      <c r="K151">
        <v>190</v>
      </c>
      <c r="L151">
        <v>1019.15</v>
      </c>
    </row>
    <row r="153">
      <c r="A153" t="str">
        <v>Office Expansion</v>
      </c>
      <c r="B153">
        <v>1</v>
      </c>
      <c r="C153">
        <v>0</v>
      </c>
      <c r="D153" t="str">
        <v/>
      </c>
      <c r="E153">
        <v>0</v>
      </c>
      <c r="F153">
        <v>0</v>
      </c>
      <c r="G153" t="str">
        <v>Thematic template (office_desk times)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/>
      </c>
      <c r="B154">
        <v>2</v>
      </c>
      <c r="C154">
        <v>0.001</v>
      </c>
      <c r="D154" t="str">
        <v/>
      </c>
      <c r="E154">
        <v>86.4</v>
      </c>
      <c r="F154">
        <v>0.024</v>
      </c>
      <c r="G154" t="str">
        <v>Thematic template (office_desk times)</v>
      </c>
      <c r="H154">
        <v>0</v>
      </c>
      <c r="I154">
        <v>0</v>
      </c>
      <c r="J154">
        <v>0</v>
      </c>
      <c r="K154">
        <v>0</v>
      </c>
      <c r="L154">
        <v>2</v>
      </c>
    </row>
    <row r="155">
      <c r="A155" t="str">
        <v/>
      </c>
      <c r="B155">
        <v>3</v>
      </c>
      <c r="C155">
        <v>0.0011</v>
      </c>
      <c r="D155" t="str">
        <v/>
      </c>
      <c r="E155">
        <v>95.04</v>
      </c>
      <c r="F155">
        <v>0.0264</v>
      </c>
      <c r="G155" t="str">
        <v>Thematic template (office_desk times)</v>
      </c>
      <c r="H155">
        <v>0</v>
      </c>
      <c r="I155">
        <v>0</v>
      </c>
      <c r="J155">
        <v>0</v>
      </c>
      <c r="K155">
        <v>0</v>
      </c>
      <c r="L155">
        <v>4</v>
      </c>
    </row>
    <row r="156">
      <c r="A156" t="str">
        <v/>
      </c>
      <c r="B156">
        <v>4</v>
      </c>
      <c r="C156">
        <v>0.0012100000000000001</v>
      </c>
      <c r="D156" t="str">
        <v/>
      </c>
      <c r="E156">
        <v>104.54400000000001</v>
      </c>
      <c r="F156">
        <v>0.029040000000000003</v>
      </c>
      <c r="G156" t="str">
        <v>Thematic template (office_desk times)</v>
      </c>
      <c r="H156">
        <v>0</v>
      </c>
      <c r="I156">
        <v>0</v>
      </c>
      <c r="J156">
        <v>0</v>
      </c>
      <c r="K156">
        <v>0</v>
      </c>
      <c r="L156">
        <v>6</v>
      </c>
    </row>
    <row r="157">
      <c r="A157" t="str">
        <v/>
      </c>
      <c r="B157">
        <v>5</v>
      </c>
      <c r="C157">
        <v>0.006050000000000001</v>
      </c>
      <c r="D157" t="str">
        <v/>
      </c>
      <c r="E157">
        <v>522.72</v>
      </c>
      <c r="F157">
        <v>0.14520000000000002</v>
      </c>
      <c r="G157" t="str">
        <v>Thematic template (office_desk times)</v>
      </c>
      <c r="H157">
        <v>0</v>
      </c>
      <c r="I157">
        <v>0</v>
      </c>
      <c r="J157">
        <v>0</v>
      </c>
      <c r="K157">
        <v>0</v>
      </c>
      <c r="L157">
        <v>8</v>
      </c>
    </row>
    <row r="158">
      <c r="A158" t="str">
        <v/>
      </c>
      <c r="B158">
        <v>6</v>
      </c>
      <c r="C158">
        <v>0.00726</v>
      </c>
      <c r="D158" t="str">
        <v/>
      </c>
      <c r="E158">
        <v>627.264</v>
      </c>
      <c r="F158">
        <v>0.17424</v>
      </c>
      <c r="G158" t="str">
        <v>Thematic template (office_desk times)</v>
      </c>
      <c r="H158">
        <v>0</v>
      </c>
      <c r="I158">
        <v>0</v>
      </c>
      <c r="J158">
        <v>0</v>
      </c>
      <c r="K158">
        <v>0</v>
      </c>
      <c r="L158">
        <v>10</v>
      </c>
    </row>
    <row r="159">
      <c r="A159" t="str">
        <v/>
      </c>
      <c r="B159">
        <v>7</v>
      </c>
      <c r="C159">
        <v>0.008712000000000001</v>
      </c>
      <c r="D159" t="str">
        <v/>
      </c>
      <c r="E159">
        <v>752.7168</v>
      </c>
      <c r="F159">
        <v>0.20908800000000002</v>
      </c>
      <c r="G159" t="str">
        <v>Thematic template (office_desk times)</v>
      </c>
      <c r="H159">
        <v>0</v>
      </c>
      <c r="I159">
        <v>0</v>
      </c>
      <c r="J159">
        <v>0</v>
      </c>
      <c r="K159">
        <v>0</v>
      </c>
      <c r="L159">
        <v>12</v>
      </c>
    </row>
    <row r="160">
      <c r="A160" t="str">
        <v/>
      </c>
      <c r="B160">
        <v>8</v>
      </c>
      <c r="C160">
        <v>0.0104544</v>
      </c>
      <c r="D160" t="str">
        <v/>
      </c>
      <c r="E160">
        <v>903.26016</v>
      </c>
      <c r="F160">
        <v>0.2509056</v>
      </c>
      <c r="G160" t="str">
        <v>Thematic template (office_desk times)</v>
      </c>
      <c r="H160">
        <v>0</v>
      </c>
      <c r="I160">
        <v>0</v>
      </c>
      <c r="J160">
        <v>0</v>
      </c>
      <c r="K160">
        <v>0</v>
      </c>
      <c r="L160">
        <v>14</v>
      </c>
    </row>
    <row r="161">
      <c r="A161" t="str">
        <v/>
      </c>
      <c r="B161">
        <v>9</v>
      </c>
      <c r="C161">
        <v>0.01254528</v>
      </c>
      <c r="D161" t="str">
        <v/>
      </c>
      <c r="E161">
        <v>1083.912192</v>
      </c>
      <c r="F161">
        <v>0.30108672000000003</v>
      </c>
      <c r="G161" t="str">
        <v>Thematic template (office_desk times)</v>
      </c>
      <c r="H161">
        <v>0</v>
      </c>
      <c r="I161">
        <v>0</v>
      </c>
      <c r="J161">
        <v>0</v>
      </c>
      <c r="K161">
        <v>0</v>
      </c>
      <c r="L161">
        <v>16</v>
      </c>
    </row>
    <row r="162">
      <c r="A162" t="str">
        <v/>
      </c>
      <c r="B162">
        <v>10</v>
      </c>
      <c r="C162">
        <v>0.05018112</v>
      </c>
      <c r="D162" t="str">
        <v/>
      </c>
      <c r="E162">
        <v>4335.648768</v>
      </c>
      <c r="F162">
        <v>1.2043468800000001</v>
      </c>
      <c r="G162" t="str">
        <v>Thematic template (office_desk times)</v>
      </c>
      <c r="H162">
        <v>0</v>
      </c>
      <c r="I162">
        <v>0</v>
      </c>
      <c r="J162">
        <v>0</v>
      </c>
      <c r="K162">
        <v>0</v>
      </c>
      <c r="L162">
        <v>18</v>
      </c>
    </row>
    <row r="163">
      <c r="A163" t="str">
        <v/>
      </c>
      <c r="B163">
        <v>11</v>
      </c>
      <c r="C163">
        <v>0.060217344</v>
      </c>
      <c r="D163" t="str">
        <v/>
      </c>
      <c r="E163">
        <v>5202.7785216</v>
      </c>
      <c r="F163">
        <v>1.445216256</v>
      </c>
      <c r="G163" t="str">
        <v>Thematic template (office_desk times)</v>
      </c>
      <c r="H163">
        <v>0</v>
      </c>
      <c r="I163">
        <v>0</v>
      </c>
      <c r="J163">
        <v>0</v>
      </c>
      <c r="K163">
        <v>0</v>
      </c>
      <c r="L163">
        <v>20</v>
      </c>
    </row>
    <row r="164">
      <c r="A164" t="str">
        <v/>
      </c>
      <c r="B164">
        <v>12</v>
      </c>
      <c r="C164">
        <v>0.07226081279999999</v>
      </c>
      <c r="D164" t="str">
        <v/>
      </c>
      <c r="E164">
        <v>6243.334225919999</v>
      </c>
      <c r="F164">
        <v>1.7342595071999998</v>
      </c>
      <c r="G164" t="str">
        <v>Thematic template (office_desk times)</v>
      </c>
      <c r="H164">
        <v>0</v>
      </c>
      <c r="I164">
        <v>0</v>
      </c>
      <c r="J164">
        <v>0</v>
      </c>
      <c r="K164">
        <v>0</v>
      </c>
      <c r="L164">
        <v>22</v>
      </c>
    </row>
    <row r="165">
      <c r="A165" t="str">
        <v/>
      </c>
      <c r="B165">
        <v>13</v>
      </c>
      <c r="C165">
        <v>0.08671297535999999</v>
      </c>
      <c r="D165" t="str">
        <v/>
      </c>
      <c r="E165">
        <v>7492.001071103999</v>
      </c>
      <c r="F165">
        <v>2.0811114086399995</v>
      </c>
      <c r="G165" t="str">
        <v>Thematic template (office_desk times)</v>
      </c>
      <c r="H165">
        <v>0</v>
      </c>
      <c r="I165">
        <v>0</v>
      </c>
      <c r="J165">
        <v>0</v>
      </c>
      <c r="K165">
        <v>0</v>
      </c>
      <c r="L165">
        <v>24</v>
      </c>
    </row>
    <row r="166">
      <c r="A166" t="str">
        <v/>
      </c>
      <c r="B166">
        <v>14</v>
      </c>
      <c r="C166">
        <v>0.10405557043199998</v>
      </c>
      <c r="D166" t="str">
        <v/>
      </c>
      <c r="E166">
        <v>8990.401285324799</v>
      </c>
      <c r="F166">
        <v>2.4973336903679995</v>
      </c>
      <c r="G166" t="str">
        <v>Thematic template (office_desk times)</v>
      </c>
      <c r="H166">
        <v>0</v>
      </c>
      <c r="I166">
        <v>0</v>
      </c>
      <c r="J166">
        <v>0</v>
      </c>
      <c r="K166">
        <v>0</v>
      </c>
      <c r="L166">
        <v>26</v>
      </c>
    </row>
    <row r="167">
      <c r="A167" t="str">
        <v/>
      </c>
      <c r="B167">
        <v>15</v>
      </c>
      <c r="C167">
        <v>0.26013892607999994</v>
      </c>
      <c r="D167" t="str">
        <v/>
      </c>
      <c r="E167">
        <v>22476.003213311997</v>
      </c>
      <c r="F167">
        <v>6.243334225919998</v>
      </c>
      <c r="G167" t="str">
        <v>Thematic template (office_desk times)</v>
      </c>
      <c r="H167">
        <v>0</v>
      </c>
      <c r="I167">
        <v>0</v>
      </c>
      <c r="J167">
        <v>0</v>
      </c>
      <c r="K167">
        <v>0</v>
      </c>
      <c r="L167">
        <v>28</v>
      </c>
    </row>
    <row r="168">
      <c r="A168" t="str">
        <v/>
      </c>
      <c r="B168">
        <v>16</v>
      </c>
      <c r="C168">
        <v>0.31216671129599993</v>
      </c>
      <c r="D168" t="str">
        <v/>
      </c>
      <c r="E168">
        <v>26971.203855974392</v>
      </c>
      <c r="F168">
        <v>7.492001071103998</v>
      </c>
      <c r="G168" t="str">
        <v>Thematic template (office_desk times)</v>
      </c>
      <c r="H168">
        <v>0</v>
      </c>
      <c r="I168">
        <v>0</v>
      </c>
      <c r="J168">
        <v>0</v>
      </c>
      <c r="K168">
        <v>0</v>
      </c>
      <c r="L168">
        <v>30</v>
      </c>
    </row>
    <row r="169">
      <c r="A169" t="str">
        <v/>
      </c>
      <c r="B169">
        <v>17</v>
      </c>
      <c r="C169">
        <v>0.37460005355519993</v>
      </c>
      <c r="D169" t="str">
        <v/>
      </c>
      <c r="E169">
        <v>32365.444627169272</v>
      </c>
      <c r="F169">
        <v>8.990401285324799</v>
      </c>
      <c r="G169" t="str">
        <v>Thematic template (office_desk times)</v>
      </c>
      <c r="H169">
        <v>0</v>
      </c>
      <c r="I169">
        <v>0</v>
      </c>
      <c r="J169">
        <v>0</v>
      </c>
      <c r="K169">
        <v>0</v>
      </c>
      <c r="L169">
        <v>32</v>
      </c>
    </row>
    <row r="170">
      <c r="A170" t="str">
        <v/>
      </c>
      <c r="B170">
        <v>18</v>
      </c>
      <c r="C170">
        <v>0.44952006426623986</v>
      </c>
      <c r="D170" t="str">
        <v/>
      </c>
      <c r="E170">
        <v>38838.53355260313</v>
      </c>
      <c r="F170">
        <v>10.788481542389757</v>
      </c>
      <c r="G170" t="str">
        <v>Thematic template (office_desk times)</v>
      </c>
      <c r="H170">
        <v>0</v>
      </c>
      <c r="I170">
        <v>0</v>
      </c>
      <c r="J170">
        <v>0</v>
      </c>
      <c r="K170">
        <v>0</v>
      </c>
      <c r="L170">
        <v>34</v>
      </c>
    </row>
    <row r="171">
      <c r="A171" t="str">
        <v/>
      </c>
      <c r="B171">
        <v>19</v>
      </c>
      <c r="C171">
        <v>0.5394240771194879</v>
      </c>
      <c r="D171" t="str">
        <v/>
      </c>
      <c r="E171">
        <v>46606.24026312376</v>
      </c>
      <c r="F171">
        <v>12.94617785086771</v>
      </c>
      <c r="G171" t="str">
        <v>Thematic template (office_desk times)</v>
      </c>
      <c r="H171">
        <v>0</v>
      </c>
      <c r="I171">
        <v>0</v>
      </c>
      <c r="J171">
        <v>0</v>
      </c>
      <c r="K171">
        <v>0</v>
      </c>
      <c r="L171">
        <v>36</v>
      </c>
    </row>
    <row r="172">
      <c r="A172" t="str">
        <v/>
      </c>
      <c r="B172">
        <v>20</v>
      </c>
      <c r="C172">
        <v>1.0788481542389758</v>
      </c>
      <c r="D172" t="str">
        <v/>
      </c>
      <c r="E172">
        <v>93212.48052624751</v>
      </c>
      <c r="F172">
        <v>25.89235570173542</v>
      </c>
      <c r="G172" t="str">
        <v>Thematic template (office_desk times)</v>
      </c>
      <c r="H172">
        <v>0</v>
      </c>
      <c r="I172">
        <v>0</v>
      </c>
      <c r="J172">
        <v>0</v>
      </c>
      <c r="K172">
        <v>0</v>
      </c>
      <c r="L172">
        <v>38</v>
      </c>
    </row>
    <row r="174">
      <c r="A174" t="str">
        <v>Power Panel</v>
      </c>
      <c r="B174">
        <v>1</v>
      </c>
      <c r="C174">
        <v>0</v>
      </c>
      <c r="D174" t="str">
        <v/>
      </c>
      <c r="E174">
        <v>0</v>
      </c>
      <c r="F174">
        <v>0</v>
      </c>
      <c r="G174" t="str">
        <v>Thematic template (office_supply times)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/>
      </c>
      <c r="B175">
        <v>2</v>
      </c>
      <c r="C175">
        <v>0.001</v>
      </c>
      <c r="D175" t="str">
        <v/>
      </c>
      <c r="E175">
        <v>86.4</v>
      </c>
      <c r="F175">
        <v>0.024</v>
      </c>
      <c r="G175" t="str">
        <v>Thematic template (office_supply times)</v>
      </c>
      <c r="H175">
        <v>0</v>
      </c>
      <c r="I175">
        <v>0</v>
      </c>
      <c r="J175">
        <v>0</v>
      </c>
      <c r="K175">
        <v>0</v>
      </c>
      <c r="L175">
        <v>5</v>
      </c>
    </row>
    <row r="176">
      <c r="A176" t="str">
        <v/>
      </c>
      <c r="B176">
        <v>3</v>
      </c>
      <c r="C176">
        <v>0.002</v>
      </c>
      <c r="D176" t="str">
        <v/>
      </c>
      <c r="E176">
        <v>172.8</v>
      </c>
      <c r="F176">
        <v>0.048</v>
      </c>
      <c r="G176" t="str">
        <v>Thematic template (office_supply times)</v>
      </c>
      <c r="H176">
        <v>0</v>
      </c>
      <c r="I176">
        <v>0</v>
      </c>
      <c r="J176">
        <v>0</v>
      </c>
      <c r="K176">
        <v>0</v>
      </c>
      <c r="L176">
        <v>10</v>
      </c>
    </row>
    <row r="177">
      <c r="A177" t="str">
        <v/>
      </c>
      <c r="B177">
        <v>4</v>
      </c>
      <c r="C177">
        <v>0.004</v>
      </c>
      <c r="D177" t="str">
        <v/>
      </c>
      <c r="E177">
        <v>345.6</v>
      </c>
      <c r="F177">
        <v>0.096</v>
      </c>
      <c r="G177" t="str">
        <v>Thematic template (office_supply times)</v>
      </c>
      <c r="H177">
        <v>0</v>
      </c>
      <c r="I177">
        <v>0</v>
      </c>
      <c r="J177">
        <v>0</v>
      </c>
      <c r="K177">
        <v>0</v>
      </c>
      <c r="L177">
        <v>15</v>
      </c>
    </row>
    <row r="178">
      <c r="A178" t="str">
        <v/>
      </c>
      <c r="B178">
        <v>5</v>
      </c>
      <c r="C178">
        <v>0.02</v>
      </c>
      <c r="D178" t="str">
        <v/>
      </c>
      <c r="E178">
        <v>1728</v>
      </c>
      <c r="F178">
        <v>0.48</v>
      </c>
      <c r="G178" t="str">
        <v>Thematic template (office_supply times)</v>
      </c>
      <c r="H178">
        <v>0</v>
      </c>
      <c r="I178">
        <v>0</v>
      </c>
      <c r="J178">
        <v>0</v>
      </c>
      <c r="K178">
        <v>0</v>
      </c>
      <c r="L178">
        <v>20</v>
      </c>
    </row>
    <row r="179">
      <c r="A179" t="str">
        <v/>
      </c>
      <c r="B179">
        <v>6</v>
      </c>
      <c r="C179">
        <v>0.024000000000000004</v>
      </c>
      <c r="D179" t="str">
        <v/>
      </c>
      <c r="E179">
        <v>2073.6000000000004</v>
      </c>
      <c r="F179">
        <v>0.5760000000000001</v>
      </c>
      <c r="G179" t="str">
        <v>Thematic template (office_supply times)</v>
      </c>
      <c r="H179">
        <v>0</v>
      </c>
      <c r="I179">
        <v>0</v>
      </c>
      <c r="J179">
        <v>0</v>
      </c>
      <c r="K179">
        <v>0</v>
      </c>
      <c r="L179">
        <v>25</v>
      </c>
    </row>
    <row r="180">
      <c r="A180" t="str">
        <v/>
      </c>
      <c r="B180">
        <v>7</v>
      </c>
      <c r="C180">
        <v>0.028800000000000003</v>
      </c>
      <c r="D180" t="str">
        <v/>
      </c>
      <c r="E180">
        <v>2488.32</v>
      </c>
      <c r="F180">
        <v>0.6912</v>
      </c>
      <c r="G180" t="str">
        <v>Thematic template (office_supply times)</v>
      </c>
      <c r="H180">
        <v>0</v>
      </c>
      <c r="I180">
        <v>0</v>
      </c>
      <c r="J180">
        <v>0</v>
      </c>
      <c r="K180">
        <v>0</v>
      </c>
      <c r="L180">
        <v>30</v>
      </c>
    </row>
    <row r="181">
      <c r="A181" t="str">
        <v/>
      </c>
      <c r="B181">
        <v>8</v>
      </c>
      <c r="C181">
        <v>0.03456</v>
      </c>
      <c r="D181" t="str">
        <v/>
      </c>
      <c r="E181">
        <v>2985.984</v>
      </c>
      <c r="F181">
        <v>0.82944</v>
      </c>
      <c r="G181" t="str">
        <v>Thematic template (office_supply times)</v>
      </c>
      <c r="H181">
        <v>0</v>
      </c>
      <c r="I181">
        <v>0</v>
      </c>
      <c r="J181">
        <v>0</v>
      </c>
      <c r="K181">
        <v>0</v>
      </c>
      <c r="L181">
        <v>35</v>
      </c>
    </row>
    <row r="182">
      <c r="A182" t="str">
        <v/>
      </c>
      <c r="B182">
        <v>9</v>
      </c>
      <c r="C182">
        <v>0.041472</v>
      </c>
      <c r="D182" t="str">
        <v/>
      </c>
      <c r="E182">
        <v>3583.1808</v>
      </c>
      <c r="F182">
        <v>0.995328</v>
      </c>
      <c r="G182" t="str">
        <v>Thematic template (office_supply times)</v>
      </c>
      <c r="H182">
        <v>0</v>
      </c>
      <c r="I182">
        <v>0</v>
      </c>
      <c r="J182">
        <v>0</v>
      </c>
      <c r="K182">
        <v>0</v>
      </c>
      <c r="L182">
        <v>40</v>
      </c>
    </row>
    <row r="183">
      <c r="A183" t="str">
        <v/>
      </c>
      <c r="B183">
        <v>10</v>
      </c>
      <c r="C183">
        <v>0.165888</v>
      </c>
      <c r="D183" t="str">
        <v/>
      </c>
      <c r="E183">
        <v>14332.7232</v>
      </c>
      <c r="F183">
        <v>3.981312</v>
      </c>
      <c r="G183" t="str">
        <v>Thematic template (office_supply times)</v>
      </c>
      <c r="H183">
        <v>0</v>
      </c>
      <c r="I183">
        <v>0</v>
      </c>
      <c r="J183">
        <v>0</v>
      </c>
      <c r="K183">
        <v>0</v>
      </c>
      <c r="L183">
        <v>45</v>
      </c>
    </row>
    <row r="184">
      <c r="A184" t="str">
        <v/>
      </c>
      <c r="B184">
        <v>11</v>
      </c>
      <c r="C184">
        <v>0.19906560000000004</v>
      </c>
      <c r="D184" t="str">
        <v/>
      </c>
      <c r="E184">
        <v>17199.267840000004</v>
      </c>
      <c r="F184">
        <v>4.777574400000001</v>
      </c>
      <c r="G184" t="str">
        <v>Thematic template (office_supply times)</v>
      </c>
      <c r="H184">
        <v>0</v>
      </c>
      <c r="I184">
        <v>0</v>
      </c>
      <c r="J184">
        <v>0</v>
      </c>
      <c r="K184">
        <v>0</v>
      </c>
      <c r="L184">
        <v>50</v>
      </c>
    </row>
    <row r="185">
      <c r="A185" t="str">
        <v/>
      </c>
      <c r="B185">
        <v>12</v>
      </c>
      <c r="C185">
        <v>0.23887872</v>
      </c>
      <c r="D185" t="str">
        <v/>
      </c>
      <c r="E185">
        <v>20639.121408</v>
      </c>
      <c r="F185">
        <v>5.73308928</v>
      </c>
      <c r="G185" t="str">
        <v>Thematic template (office_supply times)</v>
      </c>
      <c r="H185">
        <v>0</v>
      </c>
      <c r="I185">
        <v>0</v>
      </c>
      <c r="J185">
        <v>0</v>
      </c>
      <c r="K185">
        <v>0</v>
      </c>
      <c r="L185">
        <v>55</v>
      </c>
    </row>
    <row r="186">
      <c r="A186" t="str">
        <v/>
      </c>
      <c r="B186">
        <v>13</v>
      </c>
      <c r="C186">
        <v>0.286654464</v>
      </c>
      <c r="D186" t="str">
        <v/>
      </c>
      <c r="E186">
        <v>24766.9456896</v>
      </c>
      <c r="F186">
        <v>6.879707136</v>
      </c>
      <c r="G186" t="str">
        <v>Thematic template (office_supply times)</v>
      </c>
      <c r="H186">
        <v>0</v>
      </c>
      <c r="I186">
        <v>0</v>
      </c>
      <c r="J186">
        <v>0</v>
      </c>
      <c r="K186">
        <v>0</v>
      </c>
      <c r="L186">
        <v>60</v>
      </c>
    </row>
    <row r="187">
      <c r="A187" t="str">
        <v/>
      </c>
      <c r="B187">
        <v>14</v>
      </c>
      <c r="C187">
        <v>0.3439853568</v>
      </c>
      <c r="D187" t="str">
        <v/>
      </c>
      <c r="E187">
        <v>29720.334827519997</v>
      </c>
      <c r="F187">
        <v>8.2556485632</v>
      </c>
      <c r="G187" t="str">
        <v>Thematic template (office_supply times)</v>
      </c>
      <c r="H187">
        <v>0</v>
      </c>
      <c r="I187">
        <v>0</v>
      </c>
      <c r="J187">
        <v>0</v>
      </c>
      <c r="K187">
        <v>0</v>
      </c>
      <c r="L187">
        <v>65</v>
      </c>
    </row>
    <row r="188">
      <c r="A188" t="str">
        <v/>
      </c>
      <c r="B188">
        <v>15</v>
      </c>
      <c r="C188">
        <v>0.8599633919999999</v>
      </c>
      <c r="D188" t="str">
        <v/>
      </c>
      <c r="E188">
        <v>74300.8370688</v>
      </c>
      <c r="F188">
        <v>20.639121407999998</v>
      </c>
      <c r="G188" t="str">
        <v>Thematic template (office_supply times)</v>
      </c>
      <c r="H188">
        <v>0</v>
      </c>
      <c r="I188">
        <v>0</v>
      </c>
      <c r="J188">
        <v>0</v>
      </c>
      <c r="K188">
        <v>0</v>
      </c>
      <c r="L188">
        <v>70</v>
      </c>
    </row>
    <row r="189">
      <c r="A189" t="str">
        <v/>
      </c>
      <c r="B189">
        <v>16</v>
      </c>
      <c r="C189">
        <v>1.0319560704</v>
      </c>
      <c r="D189" t="str">
        <v/>
      </c>
      <c r="E189">
        <v>89161.00448255999</v>
      </c>
      <c r="F189">
        <v>24.7669456896</v>
      </c>
      <c r="G189" t="str">
        <v>Thematic template (office_supply times)</v>
      </c>
      <c r="H189">
        <v>0</v>
      </c>
      <c r="I189">
        <v>0</v>
      </c>
      <c r="J189">
        <v>0</v>
      </c>
      <c r="K189">
        <v>0</v>
      </c>
      <c r="L189">
        <v>75</v>
      </c>
    </row>
    <row r="190">
      <c r="A190" t="str">
        <v/>
      </c>
      <c r="B190">
        <v>17</v>
      </c>
      <c r="C190">
        <v>1.2383472844799999</v>
      </c>
      <c r="D190" t="str">
        <v/>
      </c>
      <c r="E190">
        <v>106993.205379072</v>
      </c>
      <c r="F190">
        <v>29.72033482752</v>
      </c>
      <c r="G190" t="str">
        <v>Thematic template (office_supply times)</v>
      </c>
      <c r="H190">
        <v>0</v>
      </c>
      <c r="I190">
        <v>0</v>
      </c>
      <c r="J190">
        <v>0</v>
      </c>
      <c r="K190">
        <v>0</v>
      </c>
      <c r="L190">
        <v>80</v>
      </c>
    </row>
    <row r="191">
      <c r="A191" t="str">
        <v/>
      </c>
      <c r="B191">
        <v>18</v>
      </c>
      <c r="C191">
        <v>1.4860167413759997</v>
      </c>
      <c r="D191" t="str">
        <v/>
      </c>
      <c r="E191">
        <v>128391.84645488637</v>
      </c>
      <c r="F191">
        <v>35.66440179302399</v>
      </c>
      <c r="G191" t="str">
        <v>Thematic template (office_supply times)</v>
      </c>
      <c r="H191">
        <v>0</v>
      </c>
      <c r="I191">
        <v>0</v>
      </c>
      <c r="J191">
        <v>0</v>
      </c>
      <c r="K191">
        <v>0</v>
      </c>
      <c r="L191">
        <v>85</v>
      </c>
    </row>
    <row r="192">
      <c r="A192" t="str">
        <v/>
      </c>
      <c r="B192">
        <v>19</v>
      </c>
      <c r="C192">
        <v>1.7832200896511996</v>
      </c>
      <c r="D192" t="str">
        <v/>
      </c>
      <c r="E192">
        <v>154070.21574586365</v>
      </c>
      <c r="F192">
        <v>42.79728215162879</v>
      </c>
      <c r="G192" t="str">
        <v>Thematic template (office_supply times)</v>
      </c>
      <c r="H192">
        <v>0</v>
      </c>
      <c r="I192">
        <v>0</v>
      </c>
      <c r="J192">
        <v>0</v>
      </c>
      <c r="K192">
        <v>0</v>
      </c>
      <c r="L192">
        <v>90</v>
      </c>
    </row>
    <row r="193">
      <c r="A193" t="str">
        <v/>
      </c>
      <c r="B193">
        <v>20</v>
      </c>
      <c r="C193">
        <v>3.566440179302399</v>
      </c>
      <c r="D193" t="str">
        <v/>
      </c>
      <c r="E193">
        <v>308140.4314917273</v>
      </c>
      <c r="F193">
        <v>85.59456430325758</v>
      </c>
      <c r="G193" t="str">
        <v>Thematic template (office_supply times)</v>
      </c>
      <c r="H193">
        <v>0</v>
      </c>
      <c r="I193">
        <v>0</v>
      </c>
      <c r="J193">
        <v>0</v>
      </c>
      <c r="K193">
        <v>0</v>
      </c>
      <c r="L193">
        <v>95</v>
      </c>
    </row>
    <row r="195">
      <c r="A195" t="str">
        <v>Recruitment Desk</v>
      </c>
      <c r="B195">
        <v>1</v>
      </c>
      <c r="C195">
        <v>0</v>
      </c>
      <c r="D195" t="str">
        <v/>
      </c>
      <c r="E195">
        <v>0</v>
      </c>
      <c r="F195">
        <v>0</v>
      </c>
      <c r="G195" t="str">
        <v>Thematic template (bank_account times)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/>
      </c>
      <c r="B196">
        <v>2</v>
      </c>
      <c r="C196">
        <v>0.001</v>
      </c>
      <c r="D196" t="str">
        <v/>
      </c>
      <c r="E196">
        <v>86.4</v>
      </c>
      <c r="F196">
        <v>0.024</v>
      </c>
      <c r="G196" t="str">
        <v>Thematic template (bank_account times)</v>
      </c>
      <c r="H196">
        <v>100</v>
      </c>
      <c r="I196">
        <v>50</v>
      </c>
      <c r="J196">
        <v>0</v>
      </c>
      <c r="K196">
        <v>0</v>
      </c>
      <c r="L196">
        <v>0</v>
      </c>
    </row>
    <row r="197">
      <c r="A197" t="str">
        <v/>
      </c>
      <c r="B197">
        <v>3</v>
      </c>
      <c r="C197">
        <v>0.002</v>
      </c>
      <c r="D197" t="str">
        <v/>
      </c>
      <c r="E197">
        <v>172.8</v>
      </c>
      <c r="F197">
        <v>0.048</v>
      </c>
      <c r="G197" t="str">
        <v>Thematic template (bank_account times)</v>
      </c>
      <c r="H197">
        <v>160</v>
      </c>
      <c r="I197">
        <v>80</v>
      </c>
      <c r="J197">
        <v>0</v>
      </c>
      <c r="K197">
        <v>0</v>
      </c>
      <c r="L197">
        <v>0</v>
      </c>
    </row>
    <row r="198">
      <c r="A198" t="str">
        <v/>
      </c>
      <c r="B198">
        <v>4</v>
      </c>
      <c r="C198">
        <v>0.004</v>
      </c>
      <c r="D198" t="str">
        <v/>
      </c>
      <c r="E198">
        <v>345.6</v>
      </c>
      <c r="F198">
        <v>0.096</v>
      </c>
      <c r="G198" t="str">
        <v>Thematic template (bank_account times)</v>
      </c>
      <c r="H198">
        <v>256</v>
      </c>
      <c r="I198">
        <v>128</v>
      </c>
      <c r="J198">
        <v>0</v>
      </c>
      <c r="K198">
        <v>0</v>
      </c>
      <c r="L198">
        <v>0</v>
      </c>
    </row>
    <row r="199">
      <c r="A199" t="str">
        <v/>
      </c>
      <c r="B199">
        <v>5</v>
      </c>
      <c r="C199">
        <v>0.02</v>
      </c>
      <c r="D199" t="str">
        <v/>
      </c>
      <c r="E199">
        <v>1728</v>
      </c>
      <c r="F199">
        <v>0.48</v>
      </c>
      <c r="G199" t="str">
        <v>Thematic template (bank_account times)</v>
      </c>
      <c r="H199">
        <v>640</v>
      </c>
      <c r="I199">
        <v>320</v>
      </c>
      <c r="J199">
        <v>0</v>
      </c>
      <c r="K199">
        <v>0</v>
      </c>
      <c r="L199">
        <v>0</v>
      </c>
    </row>
    <row r="200">
      <c r="A200" t="str">
        <v/>
      </c>
      <c r="B200">
        <v>6</v>
      </c>
      <c r="C200">
        <v>0.024000000000000004</v>
      </c>
      <c r="D200" t="str">
        <v/>
      </c>
      <c r="E200">
        <v>2073.6000000000004</v>
      </c>
      <c r="F200">
        <v>0.5760000000000001</v>
      </c>
      <c r="G200" t="str">
        <v>Thematic template (bank_account times)</v>
      </c>
      <c r="H200">
        <v>870.3999999999999</v>
      </c>
      <c r="I200">
        <v>435.19999999999993</v>
      </c>
      <c r="J200">
        <v>0</v>
      </c>
      <c r="K200">
        <v>0</v>
      </c>
      <c r="L200">
        <v>0</v>
      </c>
    </row>
    <row r="201">
      <c r="A201" t="str">
        <v/>
      </c>
      <c r="B201">
        <v>7</v>
      </c>
      <c r="C201">
        <v>0.028800000000000003</v>
      </c>
      <c r="D201" t="str">
        <v/>
      </c>
      <c r="E201">
        <v>2488.32</v>
      </c>
      <c r="F201">
        <v>0.6912</v>
      </c>
      <c r="G201" t="str">
        <v>Thematic template (bank_account times)</v>
      </c>
      <c r="H201">
        <v>1183.7439999999997</v>
      </c>
      <c r="I201">
        <v>591.8719999999998</v>
      </c>
      <c r="J201">
        <v>0</v>
      </c>
      <c r="K201">
        <v>0</v>
      </c>
      <c r="L201">
        <v>0</v>
      </c>
    </row>
    <row r="202">
      <c r="A202" t="str">
        <v/>
      </c>
      <c r="B202">
        <v>8</v>
      </c>
      <c r="C202">
        <v>0.03456</v>
      </c>
      <c r="D202" t="str">
        <v/>
      </c>
      <c r="E202">
        <v>2985.984</v>
      </c>
      <c r="F202">
        <v>0.82944</v>
      </c>
      <c r="G202" t="str">
        <v>Thematic template (bank_account times)</v>
      </c>
      <c r="H202">
        <v>1609.8918399999993</v>
      </c>
      <c r="I202">
        <v>804.9459199999997</v>
      </c>
      <c r="J202">
        <v>0</v>
      </c>
      <c r="K202">
        <v>0</v>
      </c>
      <c r="L202">
        <v>0</v>
      </c>
    </row>
    <row r="203">
      <c r="A203" t="str">
        <v/>
      </c>
      <c r="B203">
        <v>9</v>
      </c>
      <c r="C203">
        <v>0.041472</v>
      </c>
      <c r="D203" t="str">
        <v/>
      </c>
      <c r="E203">
        <v>3583.1808</v>
      </c>
      <c r="F203">
        <v>0.995328</v>
      </c>
      <c r="G203" t="str">
        <v>Thematic template (bank_account times)</v>
      </c>
      <c r="H203">
        <v>2189.452902399999</v>
      </c>
      <c r="I203">
        <v>1094.7264511999995</v>
      </c>
      <c r="J203">
        <v>0</v>
      </c>
      <c r="K203">
        <v>0</v>
      </c>
      <c r="L203">
        <v>0</v>
      </c>
    </row>
    <row r="204">
      <c r="A204" t="str">
        <v/>
      </c>
      <c r="B204">
        <v>10</v>
      </c>
      <c r="C204">
        <v>0.165888</v>
      </c>
      <c r="D204" t="str">
        <v/>
      </c>
      <c r="E204">
        <v>14332.7232</v>
      </c>
      <c r="F204">
        <v>3.981312</v>
      </c>
      <c r="G204" t="str">
        <v>Thematic template (bank_account times)</v>
      </c>
      <c r="H204">
        <v>4816.7963852799985</v>
      </c>
      <c r="I204">
        <v>2408.3981926399993</v>
      </c>
      <c r="J204">
        <v>0</v>
      </c>
      <c r="K204">
        <v>0</v>
      </c>
      <c r="L204">
        <v>0</v>
      </c>
    </row>
  </sheetData>
  <ignoredErrors>
    <ignoredError numberStoredAsText="1" sqref="A1:L20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203"/>
  <sheetViews>
    <sheetView workbookViewId="0" rightToLeft="0"/>
  </sheetViews>
  <sheetData>
    <row r="1">
      <c r="A1" t="str">
        <v>Structure Cost and passive rate — ENGINE COPY (do not edit design sheet)</v>
      </c>
    </row>
    <row r="2">
      <c r="A2" t="str">
        <v>Cost - Time = Excel time from design sheet column C (engine stores buildTimeHours = C × 24).</v>
      </c>
    </row>
    <row r="4">
      <c r="A4" t="str">
        <v>Structure</v>
      </c>
      <c r="B4" t="str">
        <v>Level</v>
      </c>
      <c r="C4" t="str">
        <v>Cost - Time</v>
      </c>
      <c r="D4" t="str">
        <v>Scale</v>
      </c>
      <c r="E4" t="str">
        <v>Cash</v>
      </c>
      <c r="F4" t="str">
        <v>Scale</v>
      </c>
      <c r="G4" t="str">
        <v>SUP</v>
      </c>
      <c r="H4" t="str">
        <v>Scale</v>
      </c>
      <c r="I4" t="str">
        <v>CON</v>
      </c>
      <c r="J4" t="str">
        <v>Scale</v>
      </c>
      <c r="K4" t="str">
        <v>REP</v>
      </c>
      <c r="L4" t="str">
        <v>Scale</v>
      </c>
      <c r="M4" t="str">
        <v>GREP</v>
      </c>
      <c r="N4" t="str">
        <v>Scale</v>
      </c>
      <c r="O4" t="str">
        <v>Electricity</v>
      </c>
      <c r="P4" t="str">
        <v>Scale</v>
      </c>
      <c r="Q4" t="str">
        <v>Effect (engine total at level)</v>
      </c>
      <c r="R4" t="str">
        <v>Scale</v>
      </c>
      <c r="S4" t="str">
        <v>Source row</v>
      </c>
    </row>
    <row r="5">
      <c r="A5" t="str">
        <v>Office desk</v>
      </c>
      <c r="B5">
        <v>1</v>
      </c>
      <c r="C5">
        <v>0</v>
      </c>
      <c r="D5">
        <v>1</v>
      </c>
      <c r="E5">
        <v>0</v>
      </c>
      <c r="F5" t="str">
        <v/>
      </c>
      <c r="G5">
        <v>0</v>
      </c>
      <c r="H5">
        <v>0</v>
      </c>
      <c r="I5">
        <v>0</v>
      </c>
      <c r="J5" t="str">
        <v/>
      </c>
      <c r="K5">
        <v>0</v>
      </c>
      <c r="L5" t="str">
        <v/>
      </c>
      <c r="M5">
        <v>0</v>
      </c>
      <c r="N5" t="str">
        <v/>
      </c>
      <c r="O5">
        <v>5</v>
      </c>
      <c r="P5" t="str">
        <v/>
      </c>
      <c r="Q5">
        <v>200</v>
      </c>
      <c r="R5" t="str">
        <v/>
      </c>
      <c r="S5" t="str">
        <v>design sheet</v>
      </c>
    </row>
    <row r="6">
      <c r="A6" t="str">
        <v/>
      </c>
      <c r="B6">
        <v>2</v>
      </c>
      <c r="C6">
        <v>0.001</v>
      </c>
      <c r="D6">
        <v>1</v>
      </c>
      <c r="E6">
        <v>0</v>
      </c>
      <c r="F6" t="str">
        <v/>
      </c>
      <c r="G6">
        <v>0</v>
      </c>
      <c r="H6">
        <v>0.5</v>
      </c>
      <c r="I6">
        <v>0</v>
      </c>
      <c r="J6" t="str">
        <v/>
      </c>
      <c r="K6">
        <v>0</v>
      </c>
      <c r="L6" t="str">
        <v/>
      </c>
      <c r="M6">
        <v>0</v>
      </c>
      <c r="N6" t="str">
        <v/>
      </c>
      <c r="O6">
        <v>6</v>
      </c>
      <c r="P6" t="str">
        <v/>
      </c>
      <c r="Q6">
        <v>250</v>
      </c>
      <c r="R6">
        <v>1.25</v>
      </c>
      <c r="S6" t="str">
        <v>design sheet</v>
      </c>
    </row>
    <row r="7">
      <c r="A7" t="str">
        <v/>
      </c>
      <c r="B7">
        <v>3</v>
      </c>
      <c r="C7">
        <v>0.0011</v>
      </c>
      <c r="D7">
        <v>1.1</v>
      </c>
      <c r="E7">
        <v>0</v>
      </c>
      <c r="F7" t="str">
        <v/>
      </c>
      <c r="G7">
        <v>0</v>
      </c>
      <c r="H7">
        <v>0.5</v>
      </c>
      <c r="I7">
        <v>0</v>
      </c>
      <c r="J7" t="str">
        <v/>
      </c>
      <c r="K7">
        <v>0</v>
      </c>
      <c r="L7" t="str">
        <v/>
      </c>
      <c r="M7">
        <v>0</v>
      </c>
      <c r="N7" t="str">
        <v/>
      </c>
      <c r="O7">
        <v>8</v>
      </c>
      <c r="P7" t="str">
        <v/>
      </c>
      <c r="Q7">
        <v>312.5</v>
      </c>
      <c r="R7">
        <v>1.25</v>
      </c>
      <c r="S7" t="str">
        <v>design sheet</v>
      </c>
    </row>
    <row r="8">
      <c r="A8" t="str">
        <v/>
      </c>
      <c r="B8">
        <v>4</v>
      </c>
      <c r="C8">
        <v>0.0012100000000000001</v>
      </c>
      <c r="D8">
        <v>1.1</v>
      </c>
      <c r="E8">
        <v>0</v>
      </c>
      <c r="F8" t="str">
        <v/>
      </c>
      <c r="G8">
        <v>0</v>
      </c>
      <c r="H8">
        <v>0.5</v>
      </c>
      <c r="I8">
        <v>0</v>
      </c>
      <c r="J8" t="str">
        <v/>
      </c>
      <c r="K8">
        <v>0</v>
      </c>
      <c r="L8" t="str">
        <v/>
      </c>
      <c r="M8">
        <v>0</v>
      </c>
      <c r="N8" t="str">
        <v/>
      </c>
      <c r="O8">
        <v>10</v>
      </c>
      <c r="P8" t="str">
        <v/>
      </c>
      <c r="Q8">
        <v>390.625</v>
      </c>
      <c r="R8">
        <v>1.25</v>
      </c>
      <c r="S8" t="str">
        <v>design sheet</v>
      </c>
    </row>
    <row r="9">
      <c r="A9" t="str">
        <v/>
      </c>
      <c r="B9">
        <v>5</v>
      </c>
      <c r="C9">
        <v>0.006050000000000001</v>
      </c>
      <c r="D9">
        <v>5</v>
      </c>
      <c r="E9">
        <v>0</v>
      </c>
      <c r="F9" t="str">
        <v/>
      </c>
      <c r="G9">
        <v>0</v>
      </c>
      <c r="H9">
        <v>0.5</v>
      </c>
      <c r="I9">
        <v>0</v>
      </c>
      <c r="J9" t="str">
        <v/>
      </c>
      <c r="K9">
        <v>0</v>
      </c>
      <c r="L9" t="str">
        <v/>
      </c>
      <c r="M9">
        <v>0</v>
      </c>
      <c r="N9" t="str">
        <v/>
      </c>
      <c r="O9">
        <v>20</v>
      </c>
      <c r="P9" t="str">
        <v/>
      </c>
      <c r="Q9">
        <v>781.25</v>
      </c>
      <c r="R9">
        <v>2</v>
      </c>
      <c r="S9" t="str">
        <v>design sheet</v>
      </c>
    </row>
    <row r="10">
      <c r="A10" t="str">
        <v/>
      </c>
      <c r="B10">
        <v>6</v>
      </c>
      <c r="C10">
        <v>0.007260000000000001</v>
      </c>
      <c r="D10">
        <v>1.2</v>
      </c>
      <c r="E10">
        <v>0</v>
      </c>
      <c r="F10" t="str">
        <v/>
      </c>
      <c r="G10">
        <v>0</v>
      </c>
      <c r="H10">
        <v>0.5</v>
      </c>
      <c r="I10">
        <v>0</v>
      </c>
      <c r="J10" t="str">
        <v/>
      </c>
      <c r="K10">
        <v>0</v>
      </c>
      <c r="L10" t="str">
        <v/>
      </c>
      <c r="M10">
        <v>0</v>
      </c>
      <c r="N10" t="str">
        <v/>
      </c>
      <c r="O10">
        <v>22</v>
      </c>
      <c r="P10" t="str">
        <v/>
      </c>
      <c r="Q10">
        <v>976.5625</v>
      </c>
      <c r="R10">
        <v>1.25</v>
      </c>
      <c r="S10" t="str">
        <v>design sheet</v>
      </c>
    </row>
    <row r="11">
      <c r="A11" t="str">
        <v/>
      </c>
      <c r="B11">
        <v>7</v>
      </c>
      <c r="C11">
        <v>0.008712000000000001</v>
      </c>
      <c r="D11">
        <v>1.2</v>
      </c>
      <c r="E11">
        <v>0</v>
      </c>
      <c r="F11" t="str">
        <v/>
      </c>
      <c r="G11">
        <v>0</v>
      </c>
      <c r="H11">
        <v>0.5</v>
      </c>
      <c r="I11">
        <v>0</v>
      </c>
      <c r="J11" t="str">
        <v/>
      </c>
      <c r="K11">
        <v>0</v>
      </c>
      <c r="L11" t="str">
        <v/>
      </c>
      <c r="M11">
        <v>0</v>
      </c>
      <c r="N11" t="str">
        <v/>
      </c>
      <c r="O11">
        <v>25</v>
      </c>
      <c r="P11" t="str">
        <v/>
      </c>
      <c r="Q11">
        <v>1220.703125</v>
      </c>
      <c r="R11">
        <v>1.25</v>
      </c>
      <c r="S11" t="str">
        <v>design sheet</v>
      </c>
    </row>
    <row r="12">
      <c r="A12" t="str">
        <v/>
      </c>
      <c r="B12">
        <v>8</v>
      </c>
      <c r="C12">
        <v>0.0104544</v>
      </c>
      <c r="D12">
        <v>1.2</v>
      </c>
      <c r="E12">
        <v>0</v>
      </c>
      <c r="F12" t="str">
        <v/>
      </c>
      <c r="G12">
        <v>0</v>
      </c>
      <c r="H12">
        <v>0.5</v>
      </c>
      <c r="I12">
        <v>0</v>
      </c>
      <c r="J12" t="str">
        <v/>
      </c>
      <c r="K12">
        <v>0</v>
      </c>
      <c r="L12" t="str">
        <v/>
      </c>
      <c r="M12">
        <v>0</v>
      </c>
      <c r="N12" t="str">
        <v/>
      </c>
      <c r="O12">
        <v>28</v>
      </c>
      <c r="P12" t="str">
        <v/>
      </c>
      <c r="Q12">
        <v>1525.87890625</v>
      </c>
      <c r="R12">
        <v>1.25</v>
      </c>
      <c r="S12" t="str">
        <v>design sheet</v>
      </c>
    </row>
    <row r="13">
      <c r="A13" t="str">
        <v/>
      </c>
      <c r="B13">
        <v>9</v>
      </c>
      <c r="C13">
        <v>0.01254528</v>
      </c>
      <c r="D13">
        <v>1.2</v>
      </c>
      <c r="E13">
        <v>0</v>
      </c>
      <c r="F13" t="str">
        <v/>
      </c>
      <c r="G13">
        <v>0</v>
      </c>
      <c r="H13">
        <v>0.5</v>
      </c>
      <c r="I13">
        <v>0</v>
      </c>
      <c r="J13" t="str">
        <v/>
      </c>
      <c r="K13">
        <v>0</v>
      </c>
      <c r="L13" t="str">
        <v/>
      </c>
      <c r="M13">
        <v>0</v>
      </c>
      <c r="N13" t="str">
        <v/>
      </c>
      <c r="O13">
        <v>31</v>
      </c>
      <c r="P13" t="str">
        <v/>
      </c>
      <c r="Q13">
        <v>1907.3486328125</v>
      </c>
      <c r="R13">
        <v>1.25</v>
      </c>
      <c r="S13" t="str">
        <v>design sheet</v>
      </c>
    </row>
    <row r="14">
      <c r="A14" t="str">
        <v/>
      </c>
      <c r="B14">
        <v>10</v>
      </c>
      <c r="C14">
        <v>0.05018112</v>
      </c>
      <c r="D14">
        <v>4</v>
      </c>
      <c r="E14">
        <v>0</v>
      </c>
      <c r="F14" t="str">
        <v/>
      </c>
      <c r="G14">
        <v>0</v>
      </c>
      <c r="H14">
        <v>0.5</v>
      </c>
      <c r="I14">
        <v>0</v>
      </c>
      <c r="J14" t="str">
        <v/>
      </c>
      <c r="K14">
        <v>0</v>
      </c>
      <c r="L14" t="str">
        <v/>
      </c>
      <c r="M14">
        <v>0</v>
      </c>
      <c r="N14" t="str">
        <v/>
      </c>
      <c r="O14">
        <v>62</v>
      </c>
      <c r="P14" t="str">
        <v/>
      </c>
      <c r="Q14">
        <v>3814.697265625</v>
      </c>
      <c r="R14">
        <v>2</v>
      </c>
      <c r="S14" t="str">
        <v>design sheet</v>
      </c>
    </row>
    <row r="15">
      <c r="A15" t="str">
        <v/>
      </c>
      <c r="B15">
        <v>11</v>
      </c>
      <c r="C15">
        <v>0.060217344</v>
      </c>
      <c r="D15">
        <v>1.2</v>
      </c>
      <c r="E15">
        <v>0</v>
      </c>
      <c r="F15" t="str">
        <v/>
      </c>
      <c r="G15">
        <v>0</v>
      </c>
      <c r="H15">
        <v>0.5</v>
      </c>
      <c r="I15">
        <v>0</v>
      </c>
      <c r="J15" t="str">
        <v/>
      </c>
      <c r="K15">
        <v>0</v>
      </c>
      <c r="L15" t="str">
        <v/>
      </c>
      <c r="M15">
        <v>0</v>
      </c>
      <c r="N15" t="str">
        <v/>
      </c>
      <c r="O15">
        <v>75</v>
      </c>
      <c r="P15" t="str">
        <v/>
      </c>
      <c r="Q15">
        <v>4577.63671875</v>
      </c>
      <c r="R15">
        <v>1.2</v>
      </c>
      <c r="S15" t="str">
        <v>design sheet</v>
      </c>
    </row>
    <row r="16">
      <c r="A16" t="str">
        <v/>
      </c>
      <c r="B16">
        <v>12</v>
      </c>
      <c r="C16">
        <v>0.07226081279999999</v>
      </c>
      <c r="D16">
        <v>1.2</v>
      </c>
      <c r="E16">
        <v>0</v>
      </c>
      <c r="F16" t="str">
        <v/>
      </c>
      <c r="G16">
        <v>0</v>
      </c>
      <c r="H16">
        <v>0.5</v>
      </c>
      <c r="I16">
        <v>0</v>
      </c>
      <c r="J16" t="str">
        <v/>
      </c>
      <c r="K16">
        <v>0</v>
      </c>
      <c r="L16" t="str">
        <v/>
      </c>
      <c r="M16">
        <v>0</v>
      </c>
      <c r="N16" t="str">
        <v/>
      </c>
      <c r="O16">
        <v>83</v>
      </c>
      <c r="P16" t="str">
        <v/>
      </c>
      <c r="Q16">
        <v>5493.1640625</v>
      </c>
      <c r="R16">
        <v>1.2</v>
      </c>
      <c r="S16" t="str">
        <v>design sheet</v>
      </c>
    </row>
    <row r="17">
      <c r="A17" t="str">
        <v/>
      </c>
      <c r="B17">
        <v>13</v>
      </c>
      <c r="C17">
        <v>0.08671297535999999</v>
      </c>
      <c r="D17">
        <v>1.2</v>
      </c>
      <c r="E17">
        <v>0</v>
      </c>
      <c r="F17" t="str">
        <v/>
      </c>
      <c r="G17">
        <v>0</v>
      </c>
      <c r="H17">
        <v>0.5</v>
      </c>
      <c r="I17">
        <v>0</v>
      </c>
      <c r="J17" t="str">
        <v/>
      </c>
      <c r="K17">
        <v>0</v>
      </c>
      <c r="L17" t="str">
        <v/>
      </c>
      <c r="M17">
        <v>0</v>
      </c>
      <c r="N17" t="str">
        <v/>
      </c>
      <c r="O17">
        <v>92</v>
      </c>
      <c r="P17" t="str">
        <v/>
      </c>
      <c r="Q17">
        <v>6591.796875</v>
      </c>
      <c r="R17">
        <v>1.2</v>
      </c>
      <c r="S17" t="str">
        <v>design sheet</v>
      </c>
    </row>
    <row r="18">
      <c r="A18" t="str">
        <v/>
      </c>
      <c r="B18">
        <v>14</v>
      </c>
      <c r="C18">
        <v>0.10405557043199998</v>
      </c>
      <c r="D18">
        <v>1.2</v>
      </c>
      <c r="E18">
        <v>0</v>
      </c>
      <c r="F18" t="str">
        <v/>
      </c>
      <c r="G18">
        <v>0</v>
      </c>
      <c r="H18">
        <v>0.5</v>
      </c>
      <c r="I18">
        <v>0</v>
      </c>
      <c r="J18" t="str">
        <v/>
      </c>
      <c r="K18">
        <v>0</v>
      </c>
      <c r="L18" t="str">
        <v/>
      </c>
      <c r="M18">
        <v>0</v>
      </c>
      <c r="N18" t="str">
        <v/>
      </c>
      <c r="O18">
        <v>102</v>
      </c>
      <c r="P18" t="str">
        <v/>
      </c>
      <c r="Q18">
        <v>7910.15625</v>
      </c>
      <c r="R18">
        <v>1.2</v>
      </c>
      <c r="S18" t="str">
        <v>design sheet</v>
      </c>
    </row>
    <row r="19">
      <c r="A19" t="str">
        <v/>
      </c>
      <c r="B19">
        <v>15</v>
      </c>
      <c r="C19">
        <v>0.26013892607999994</v>
      </c>
      <c r="D19">
        <v>2.5</v>
      </c>
      <c r="E19">
        <v>0</v>
      </c>
      <c r="F19" t="str">
        <v/>
      </c>
      <c r="G19">
        <v>0</v>
      </c>
      <c r="H19">
        <v>0.5</v>
      </c>
      <c r="I19">
        <v>0</v>
      </c>
      <c r="J19" t="str">
        <v/>
      </c>
      <c r="K19">
        <v>0</v>
      </c>
      <c r="L19" t="str">
        <v/>
      </c>
      <c r="M19">
        <v>0</v>
      </c>
      <c r="N19" t="str">
        <v/>
      </c>
      <c r="O19">
        <v>204</v>
      </c>
      <c r="P19" t="str">
        <v/>
      </c>
      <c r="Q19">
        <v>15820.3125</v>
      </c>
      <c r="R19">
        <v>2</v>
      </c>
      <c r="S19" t="str">
        <v>design sheet</v>
      </c>
    </row>
    <row r="20">
      <c r="A20" t="str">
        <v/>
      </c>
      <c r="B20">
        <v>16</v>
      </c>
      <c r="C20">
        <v>0.31216671129599993</v>
      </c>
      <c r="D20">
        <v>1.2</v>
      </c>
      <c r="E20">
        <v>0</v>
      </c>
      <c r="F20" t="str">
        <v/>
      </c>
      <c r="G20">
        <v>0</v>
      </c>
      <c r="H20">
        <v>0.5</v>
      </c>
      <c r="I20">
        <v>0</v>
      </c>
      <c r="J20" t="str">
        <v/>
      </c>
      <c r="K20">
        <v>0</v>
      </c>
      <c r="L20" t="str">
        <v/>
      </c>
      <c r="M20">
        <v>0</v>
      </c>
      <c r="N20" t="str">
        <v/>
      </c>
      <c r="O20">
        <v>225</v>
      </c>
      <c r="P20" t="str">
        <v/>
      </c>
      <c r="Q20">
        <v>17402.34375</v>
      </c>
      <c r="R20">
        <v>1.1</v>
      </c>
      <c r="S20" t="str">
        <v>design sheet</v>
      </c>
    </row>
    <row r="21">
      <c r="A21" t="str">
        <v/>
      </c>
      <c r="B21">
        <v>17</v>
      </c>
      <c r="C21">
        <v>0.37460005355519993</v>
      </c>
      <c r="D21">
        <v>1.2</v>
      </c>
      <c r="E21">
        <v>0</v>
      </c>
      <c r="F21" t="str">
        <v/>
      </c>
      <c r="G21">
        <v>0</v>
      </c>
      <c r="H21">
        <v>0.5</v>
      </c>
      <c r="I21">
        <v>0</v>
      </c>
      <c r="J21" t="str">
        <v/>
      </c>
      <c r="K21">
        <v>0</v>
      </c>
      <c r="L21" t="str">
        <v/>
      </c>
      <c r="M21">
        <v>0</v>
      </c>
      <c r="N21" t="str">
        <v/>
      </c>
      <c r="O21">
        <v>248</v>
      </c>
      <c r="P21" t="str">
        <v/>
      </c>
      <c r="Q21">
        <v>19142.578125</v>
      </c>
      <c r="R21">
        <v>1.1</v>
      </c>
      <c r="S21" t="str">
        <v>design sheet</v>
      </c>
    </row>
    <row r="22">
      <c r="A22" t="str">
        <v/>
      </c>
      <c r="B22">
        <v>18</v>
      </c>
      <c r="C22">
        <v>0.4495200642662399</v>
      </c>
      <c r="D22">
        <v>1.2</v>
      </c>
      <c r="E22">
        <v>0</v>
      </c>
      <c r="F22" t="str">
        <v/>
      </c>
      <c r="G22">
        <v>0</v>
      </c>
      <c r="H22">
        <v>0.5</v>
      </c>
      <c r="I22">
        <v>0</v>
      </c>
      <c r="J22" t="str">
        <v/>
      </c>
      <c r="K22">
        <v>0</v>
      </c>
      <c r="L22" t="str">
        <v/>
      </c>
      <c r="M22">
        <v>0</v>
      </c>
      <c r="N22" t="str">
        <v/>
      </c>
      <c r="O22">
        <v>273</v>
      </c>
      <c r="P22" t="str">
        <v/>
      </c>
      <c r="Q22">
        <v>21056.8359375</v>
      </c>
      <c r="R22">
        <v>1.1</v>
      </c>
      <c r="S22" t="str">
        <v>design sheet</v>
      </c>
    </row>
    <row r="23">
      <c r="A23" t="str">
        <v/>
      </c>
      <c r="B23">
        <v>19</v>
      </c>
      <c r="C23">
        <v>0.5394240771194879</v>
      </c>
      <c r="D23">
        <v>1.2</v>
      </c>
      <c r="E23">
        <v>0</v>
      </c>
      <c r="F23" t="str">
        <v/>
      </c>
      <c r="G23">
        <v>0</v>
      </c>
      <c r="H23">
        <v>0.5</v>
      </c>
      <c r="I23">
        <v>0</v>
      </c>
      <c r="J23" t="str">
        <v/>
      </c>
      <c r="K23">
        <v>0</v>
      </c>
      <c r="L23" t="str">
        <v/>
      </c>
      <c r="M23">
        <v>0</v>
      </c>
      <c r="N23" t="str">
        <v/>
      </c>
      <c r="O23">
        <v>301</v>
      </c>
      <c r="P23" t="str">
        <v/>
      </c>
      <c r="Q23">
        <v>23162.519531250004</v>
      </c>
      <c r="R23">
        <v>1.1</v>
      </c>
      <c r="S23" t="str">
        <v>design sheet</v>
      </c>
    </row>
    <row r="24">
      <c r="A24" t="str">
        <v/>
      </c>
      <c r="B24">
        <v>20</v>
      </c>
      <c r="C24">
        <v>1.0788481542389758</v>
      </c>
      <c r="D24">
        <v>2</v>
      </c>
      <c r="E24">
        <v>0</v>
      </c>
      <c r="F24" t="str">
        <v/>
      </c>
      <c r="G24">
        <v>0</v>
      </c>
      <c r="H24">
        <v>0.5</v>
      </c>
      <c r="I24">
        <v>0</v>
      </c>
      <c r="J24" t="str">
        <v/>
      </c>
      <c r="K24">
        <v>0</v>
      </c>
      <c r="L24" t="str">
        <v/>
      </c>
      <c r="M24">
        <v>0</v>
      </c>
      <c r="N24" t="str">
        <v/>
      </c>
      <c r="O24">
        <v>602</v>
      </c>
      <c r="P24" t="str">
        <v/>
      </c>
      <c r="Q24">
        <v>25478.771484375007</v>
      </c>
      <c r="R24">
        <v>1.1</v>
      </c>
      <c r="S24" t="str">
        <v>design sheet</v>
      </c>
    </row>
    <row r="26">
      <c r="A26" t="str">
        <v>Bank account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tr">
        <v/>
      </c>
      <c r="K26">
        <v>0</v>
      </c>
      <c r="L26" t="str">
        <v/>
      </c>
      <c r="M26">
        <v>0</v>
      </c>
      <c r="N26" t="str">
        <v/>
      </c>
      <c r="O26">
        <v>0</v>
      </c>
      <c r="P26" t="str">
        <v/>
      </c>
      <c r="Q26">
        <v>50000</v>
      </c>
      <c r="R26" t="str">
        <v/>
      </c>
      <c r="S26" t="str">
        <v>design sheet</v>
      </c>
    </row>
    <row r="27">
      <c r="A27" t="str">
        <v/>
      </c>
      <c r="B27">
        <v>2</v>
      </c>
      <c r="C27">
        <v>0.001</v>
      </c>
      <c r="D27">
        <v>0</v>
      </c>
      <c r="E27">
        <v>100</v>
      </c>
      <c r="F27" t="str">
        <v/>
      </c>
      <c r="G27">
        <v>50</v>
      </c>
      <c r="H27">
        <v>0.5</v>
      </c>
      <c r="I27">
        <v>0</v>
      </c>
      <c r="J27" t="str">
        <v/>
      </c>
      <c r="K27">
        <v>0</v>
      </c>
      <c r="L27" t="str">
        <v/>
      </c>
      <c r="M27">
        <v>0</v>
      </c>
      <c r="N27" t="str">
        <v/>
      </c>
      <c r="O27">
        <v>0</v>
      </c>
      <c r="P27" t="str">
        <v/>
      </c>
      <c r="Q27">
        <v>62500</v>
      </c>
      <c r="R27">
        <v>1.25</v>
      </c>
      <c r="S27" t="str">
        <v>design sheet</v>
      </c>
    </row>
    <row r="28">
      <c r="A28" t="str">
        <v/>
      </c>
      <c r="B28">
        <v>3</v>
      </c>
      <c r="C28">
        <v>0.002</v>
      </c>
      <c r="D28">
        <v>2</v>
      </c>
      <c r="E28">
        <v>160</v>
      </c>
      <c r="F28">
        <v>1.6</v>
      </c>
      <c r="G28">
        <v>80</v>
      </c>
      <c r="H28">
        <v>0.5</v>
      </c>
      <c r="I28">
        <v>0</v>
      </c>
      <c r="J28" t="str">
        <v/>
      </c>
      <c r="K28">
        <v>0</v>
      </c>
      <c r="L28" t="str">
        <v/>
      </c>
      <c r="M28">
        <v>0</v>
      </c>
      <c r="N28" t="str">
        <v/>
      </c>
      <c r="O28">
        <v>0</v>
      </c>
      <c r="P28" t="str">
        <v/>
      </c>
      <c r="Q28">
        <v>78125</v>
      </c>
      <c r="R28">
        <v>1.25</v>
      </c>
      <c r="S28" t="str">
        <v>design sheet</v>
      </c>
    </row>
    <row r="29">
      <c r="A29" t="str">
        <v/>
      </c>
      <c r="B29">
        <v>4</v>
      </c>
      <c r="C29">
        <v>0.004</v>
      </c>
      <c r="D29">
        <v>2</v>
      </c>
      <c r="E29">
        <v>256</v>
      </c>
      <c r="F29">
        <v>1.6</v>
      </c>
      <c r="G29">
        <v>128</v>
      </c>
      <c r="H29">
        <v>0.5</v>
      </c>
      <c r="I29">
        <v>0</v>
      </c>
      <c r="J29" t="str">
        <v/>
      </c>
      <c r="K29">
        <v>0</v>
      </c>
      <c r="L29" t="str">
        <v/>
      </c>
      <c r="M29">
        <v>0</v>
      </c>
      <c r="N29" t="str">
        <v/>
      </c>
      <c r="O29">
        <v>0</v>
      </c>
      <c r="P29" t="str">
        <v/>
      </c>
      <c r="Q29">
        <v>97656.25</v>
      </c>
      <c r="R29">
        <v>1.25</v>
      </c>
      <c r="S29" t="str">
        <v>design sheet</v>
      </c>
    </row>
    <row r="30">
      <c r="A30" t="str">
        <v/>
      </c>
      <c r="B30">
        <v>5</v>
      </c>
      <c r="C30">
        <v>0.02</v>
      </c>
      <c r="D30">
        <v>5</v>
      </c>
      <c r="E30">
        <v>640</v>
      </c>
      <c r="F30">
        <v>2.5</v>
      </c>
      <c r="G30">
        <v>320</v>
      </c>
      <c r="H30">
        <v>0.5</v>
      </c>
      <c r="I30">
        <v>0</v>
      </c>
      <c r="J30" t="str">
        <v/>
      </c>
      <c r="K30">
        <v>0</v>
      </c>
      <c r="L30" t="str">
        <v/>
      </c>
      <c r="M30">
        <v>0</v>
      </c>
      <c r="N30" t="str">
        <v/>
      </c>
      <c r="O30">
        <v>0</v>
      </c>
      <c r="P30" t="str">
        <v/>
      </c>
      <c r="Q30">
        <v>195312.5</v>
      </c>
      <c r="R30">
        <v>2</v>
      </c>
      <c r="S30" t="str">
        <v>design sheet</v>
      </c>
    </row>
    <row r="31">
      <c r="A31" t="str">
        <v/>
      </c>
      <c r="B31">
        <v>6</v>
      </c>
      <c r="C31">
        <v>0.024</v>
      </c>
      <c r="D31">
        <v>1.2</v>
      </c>
      <c r="E31">
        <v>870.3999999999999</v>
      </c>
      <c r="F31">
        <v>1.3599999999999999</v>
      </c>
      <c r="G31">
        <v>435.19999999999993</v>
      </c>
      <c r="H31">
        <v>0.5</v>
      </c>
      <c r="I31">
        <v>0</v>
      </c>
      <c r="J31" t="str">
        <v/>
      </c>
      <c r="K31">
        <v>0</v>
      </c>
      <c r="L31" t="str">
        <v/>
      </c>
      <c r="M31">
        <v>0</v>
      </c>
      <c r="N31" t="str">
        <v/>
      </c>
      <c r="O31">
        <v>0</v>
      </c>
      <c r="P31" t="str">
        <v/>
      </c>
      <c r="Q31">
        <v>244140.625</v>
      </c>
      <c r="R31">
        <v>1.25</v>
      </c>
      <c r="S31" t="str">
        <v>design sheet</v>
      </c>
    </row>
    <row r="32">
      <c r="A32" t="str">
        <v/>
      </c>
      <c r="B32">
        <v>7</v>
      </c>
      <c r="C32">
        <v>0.0288</v>
      </c>
      <c r="D32">
        <v>1.2</v>
      </c>
      <c r="E32">
        <v>1183.7439999999997</v>
      </c>
      <c r="F32">
        <v>1.3599999999999999</v>
      </c>
      <c r="G32">
        <v>591.8719999999998</v>
      </c>
      <c r="H32">
        <v>0.5</v>
      </c>
      <c r="I32">
        <v>0</v>
      </c>
      <c r="J32" t="str">
        <v/>
      </c>
      <c r="K32">
        <v>0</v>
      </c>
      <c r="L32" t="str">
        <v/>
      </c>
      <c r="M32">
        <v>0</v>
      </c>
      <c r="N32" t="str">
        <v/>
      </c>
      <c r="O32">
        <v>0</v>
      </c>
      <c r="P32" t="str">
        <v/>
      </c>
      <c r="Q32">
        <v>305175.78125</v>
      </c>
      <c r="R32">
        <v>1.25</v>
      </c>
      <c r="S32" t="str">
        <v>design sheet</v>
      </c>
    </row>
    <row r="33">
      <c r="A33" t="str">
        <v/>
      </c>
      <c r="B33">
        <v>8</v>
      </c>
      <c r="C33">
        <v>0.03456</v>
      </c>
      <c r="D33">
        <v>1.2</v>
      </c>
      <c r="E33">
        <v>1609.8918399999993</v>
      </c>
      <c r="F33">
        <v>1.3599999999999999</v>
      </c>
      <c r="G33">
        <v>804.9459199999997</v>
      </c>
      <c r="H33">
        <v>0.5</v>
      </c>
      <c r="I33">
        <v>0</v>
      </c>
      <c r="J33" t="str">
        <v/>
      </c>
      <c r="K33">
        <v>0</v>
      </c>
      <c r="L33" t="str">
        <v/>
      </c>
      <c r="M33">
        <v>0</v>
      </c>
      <c r="N33" t="str">
        <v/>
      </c>
      <c r="O33">
        <v>0</v>
      </c>
      <c r="P33" t="str">
        <v/>
      </c>
      <c r="Q33">
        <v>381469.7265625</v>
      </c>
      <c r="R33">
        <v>1.25</v>
      </c>
      <c r="S33" t="str">
        <v>design sheet</v>
      </c>
    </row>
    <row r="34">
      <c r="A34" t="str">
        <v/>
      </c>
      <c r="B34">
        <v>9</v>
      </c>
      <c r="C34">
        <v>0.041472</v>
      </c>
      <c r="D34">
        <v>1.2</v>
      </c>
      <c r="E34">
        <v>2189.452902399999</v>
      </c>
      <c r="F34">
        <v>1.3599999999999999</v>
      </c>
      <c r="G34">
        <v>1094.7264511999995</v>
      </c>
      <c r="H34">
        <v>0.5</v>
      </c>
      <c r="I34">
        <v>0</v>
      </c>
      <c r="J34" t="str">
        <v/>
      </c>
      <c r="K34">
        <v>0</v>
      </c>
      <c r="L34" t="str">
        <v/>
      </c>
      <c r="M34">
        <v>0</v>
      </c>
      <c r="N34" t="str">
        <v/>
      </c>
      <c r="O34">
        <v>0</v>
      </c>
      <c r="P34" t="str">
        <v/>
      </c>
      <c r="Q34">
        <v>476837.158203125</v>
      </c>
      <c r="R34">
        <v>1.25</v>
      </c>
      <c r="S34" t="str">
        <v>design sheet</v>
      </c>
    </row>
    <row r="35">
      <c r="A35" t="str">
        <v/>
      </c>
      <c r="B35">
        <v>10</v>
      </c>
      <c r="C35">
        <v>0.165888</v>
      </c>
      <c r="D35">
        <v>4</v>
      </c>
      <c r="E35">
        <v>4816.7963852799985</v>
      </c>
      <c r="F35">
        <v>2.2</v>
      </c>
      <c r="G35">
        <v>2408.3981926399993</v>
      </c>
      <c r="H35">
        <v>0.5</v>
      </c>
      <c r="I35">
        <v>0</v>
      </c>
      <c r="J35" t="str">
        <v/>
      </c>
      <c r="K35">
        <v>0</v>
      </c>
      <c r="L35" t="str">
        <v/>
      </c>
      <c r="M35">
        <v>0</v>
      </c>
      <c r="N35" t="str">
        <v/>
      </c>
      <c r="O35">
        <v>0</v>
      </c>
      <c r="P35" t="str">
        <v/>
      </c>
      <c r="Q35">
        <v>953674.31640625</v>
      </c>
      <c r="R35">
        <v>2</v>
      </c>
      <c r="S35" t="str">
        <v>design sheet</v>
      </c>
    </row>
    <row r="36">
      <c r="A36" t="str">
        <v/>
      </c>
      <c r="B36">
        <v>11</v>
      </c>
      <c r="C36">
        <v>0.1990656</v>
      </c>
      <c r="D36">
        <v>1.2</v>
      </c>
      <c r="E36">
        <v>6550.843083980797</v>
      </c>
      <c r="F36">
        <v>1.3599999999999999</v>
      </c>
      <c r="G36">
        <v>3275.4215419903985</v>
      </c>
      <c r="H36">
        <v>0.5</v>
      </c>
      <c r="I36">
        <v>0</v>
      </c>
      <c r="J36" t="str">
        <v/>
      </c>
      <c r="K36">
        <v>0</v>
      </c>
      <c r="L36" t="str">
        <v/>
      </c>
      <c r="M36">
        <v>0</v>
      </c>
      <c r="N36" t="str">
        <v/>
      </c>
      <c r="O36">
        <v>0</v>
      </c>
      <c r="P36" t="str">
        <v/>
      </c>
      <c r="Q36">
        <v>1144409.1796875</v>
      </c>
      <c r="R36">
        <v>1.2</v>
      </c>
      <c r="S36" t="str">
        <v>design sheet</v>
      </c>
    </row>
    <row r="37">
      <c r="A37" t="str">
        <v/>
      </c>
      <c r="B37">
        <v>12</v>
      </c>
      <c r="C37">
        <v>0.23887872</v>
      </c>
      <c r="D37">
        <v>1.2</v>
      </c>
      <c r="E37">
        <v>8909.146594213884</v>
      </c>
      <c r="F37">
        <v>1.3599999999999999</v>
      </c>
      <c r="G37">
        <v>4454.573297106942</v>
      </c>
      <c r="H37">
        <v>0.5</v>
      </c>
      <c r="I37">
        <v>0</v>
      </c>
      <c r="J37" t="str">
        <v/>
      </c>
      <c r="K37">
        <v>0</v>
      </c>
      <c r="L37" t="str">
        <v/>
      </c>
      <c r="M37">
        <v>0</v>
      </c>
      <c r="N37" t="str">
        <v/>
      </c>
      <c r="O37">
        <v>0</v>
      </c>
      <c r="P37" t="str">
        <v/>
      </c>
      <c r="Q37">
        <v>1373291.015625</v>
      </c>
      <c r="R37">
        <v>1.2</v>
      </c>
      <c r="S37" t="str">
        <v>design sheet</v>
      </c>
    </row>
    <row r="38">
      <c r="A38" t="str">
        <v/>
      </c>
      <c r="B38">
        <v>13</v>
      </c>
      <c r="C38">
        <v>0.286654464</v>
      </c>
      <c r="D38">
        <v>1.2</v>
      </c>
      <c r="E38">
        <v>12116.439368130881</v>
      </c>
      <c r="F38">
        <v>1.3599999999999999</v>
      </c>
      <c r="G38">
        <v>6058.219684065441</v>
      </c>
      <c r="H38">
        <v>0.5</v>
      </c>
      <c r="I38">
        <v>0</v>
      </c>
      <c r="J38" t="str">
        <v/>
      </c>
      <c r="K38">
        <v>0</v>
      </c>
      <c r="L38" t="str">
        <v/>
      </c>
      <c r="M38">
        <v>0</v>
      </c>
      <c r="N38" t="str">
        <v/>
      </c>
      <c r="O38">
        <v>0</v>
      </c>
      <c r="P38" t="str">
        <v/>
      </c>
      <c r="Q38">
        <v>1647949.21875</v>
      </c>
      <c r="R38">
        <v>1.2</v>
      </c>
      <c r="S38" t="str">
        <v>design sheet</v>
      </c>
    </row>
    <row r="39">
      <c r="A39" t="str">
        <v/>
      </c>
      <c r="B39">
        <v>14</v>
      </c>
      <c r="C39">
        <v>0.3439853568</v>
      </c>
      <c r="D39">
        <v>1.2</v>
      </c>
      <c r="E39">
        <v>16478.357540658</v>
      </c>
      <c r="F39">
        <v>1.3599999999999999</v>
      </c>
      <c r="G39">
        <v>8239.178770329</v>
      </c>
      <c r="H39">
        <v>0.5</v>
      </c>
      <c r="I39">
        <v>0</v>
      </c>
      <c r="J39" t="str">
        <v/>
      </c>
      <c r="K39">
        <v>0</v>
      </c>
      <c r="L39" t="str">
        <v/>
      </c>
      <c r="M39">
        <v>0</v>
      </c>
      <c r="N39" t="str">
        <v/>
      </c>
      <c r="O39">
        <v>0</v>
      </c>
      <c r="P39" t="str">
        <v/>
      </c>
      <c r="Q39">
        <v>1977539.0625</v>
      </c>
      <c r="R39">
        <v>1.2</v>
      </c>
      <c r="S39" t="str">
        <v>design sheet</v>
      </c>
    </row>
    <row r="40">
      <c r="A40" t="str">
        <v/>
      </c>
      <c r="B40">
        <v>15</v>
      </c>
      <c r="C40">
        <v>0.8599633919999999</v>
      </c>
      <c r="D40">
        <v>2.5</v>
      </c>
      <c r="E40">
        <v>28837.125696151496</v>
      </c>
      <c r="F40">
        <v>1.75</v>
      </c>
      <c r="G40">
        <v>14418.562848075748</v>
      </c>
      <c r="H40">
        <v>0.5</v>
      </c>
      <c r="I40">
        <v>0</v>
      </c>
      <c r="J40" t="str">
        <v/>
      </c>
      <c r="K40">
        <v>0</v>
      </c>
      <c r="L40" t="str">
        <v/>
      </c>
      <c r="M40">
        <v>0</v>
      </c>
      <c r="N40" t="str">
        <v/>
      </c>
      <c r="O40">
        <v>0</v>
      </c>
      <c r="P40" t="str">
        <v/>
      </c>
      <c r="Q40">
        <v>3955078.125</v>
      </c>
      <c r="R40">
        <v>2</v>
      </c>
      <c r="S40" t="str">
        <v>design sheet</v>
      </c>
    </row>
    <row r="41">
      <c r="A41" t="str">
        <v/>
      </c>
      <c r="B41">
        <v>16</v>
      </c>
      <c r="C41">
        <v>1.0319560704</v>
      </c>
      <c r="D41">
        <v>1.2</v>
      </c>
      <c r="E41">
        <v>39218.49094676603</v>
      </c>
      <c r="F41">
        <v>1.3599999999999999</v>
      </c>
      <c r="G41">
        <v>19609.245473383016</v>
      </c>
      <c r="H41">
        <v>0.5</v>
      </c>
      <c r="I41">
        <v>0</v>
      </c>
      <c r="J41" t="str">
        <v/>
      </c>
      <c r="K41">
        <v>0</v>
      </c>
      <c r="L41" t="str">
        <v/>
      </c>
      <c r="M41">
        <v>0</v>
      </c>
      <c r="N41" t="str">
        <v/>
      </c>
      <c r="O41">
        <v>0</v>
      </c>
      <c r="P41" t="str">
        <v/>
      </c>
      <c r="Q41">
        <v>4350585.9375</v>
      </c>
      <c r="R41">
        <v>1.1</v>
      </c>
      <c r="S41" t="str">
        <v>design sheet</v>
      </c>
    </row>
    <row r="42">
      <c r="A42" t="str">
        <v/>
      </c>
      <c r="B42">
        <v>17</v>
      </c>
      <c r="C42">
        <v>1.2383472844799999</v>
      </c>
      <c r="D42">
        <v>1.2</v>
      </c>
      <c r="E42">
        <v>53337.1476876018</v>
      </c>
      <c r="F42">
        <v>1.3599999999999999</v>
      </c>
      <c r="G42">
        <v>26668.5738438009</v>
      </c>
      <c r="H42">
        <v>0.5</v>
      </c>
      <c r="I42">
        <v>0</v>
      </c>
      <c r="J42" t="str">
        <v/>
      </c>
      <c r="K42">
        <v>0</v>
      </c>
      <c r="L42" t="str">
        <v/>
      </c>
      <c r="M42">
        <v>0</v>
      </c>
      <c r="N42" t="str">
        <v/>
      </c>
      <c r="O42">
        <v>0</v>
      </c>
      <c r="P42" t="str">
        <v/>
      </c>
      <c r="Q42">
        <v>4785644.53125</v>
      </c>
      <c r="R42">
        <v>1.1</v>
      </c>
      <c r="S42" t="str">
        <v>design sheet</v>
      </c>
    </row>
    <row r="43">
      <c r="A43" t="str">
        <v/>
      </c>
      <c r="B43">
        <v>18</v>
      </c>
      <c r="C43">
        <v>1.4860167413759997</v>
      </c>
      <c r="D43">
        <v>1.2</v>
      </c>
      <c r="E43">
        <v>72538.52085513844</v>
      </c>
      <c r="F43">
        <v>1.3599999999999999</v>
      </c>
      <c r="G43">
        <v>36269.26042756922</v>
      </c>
      <c r="H43">
        <v>0.5</v>
      </c>
      <c r="I43">
        <v>0</v>
      </c>
      <c r="J43" t="str">
        <v/>
      </c>
      <c r="K43">
        <v>0</v>
      </c>
      <c r="L43" t="str">
        <v/>
      </c>
      <c r="M43">
        <v>0</v>
      </c>
      <c r="N43" t="str">
        <v/>
      </c>
      <c r="O43">
        <v>0</v>
      </c>
      <c r="P43" t="str">
        <v/>
      </c>
      <c r="Q43">
        <v>5264208.984375</v>
      </c>
      <c r="R43">
        <v>1.1</v>
      </c>
      <c r="S43" t="str">
        <v>design sheet</v>
      </c>
    </row>
    <row r="44">
      <c r="A44" t="str">
        <v/>
      </c>
      <c r="B44">
        <v>19</v>
      </c>
      <c r="C44">
        <v>1.7832200896511996</v>
      </c>
      <c r="D44">
        <v>1.2</v>
      </c>
      <c r="E44">
        <v>98652.38836298828</v>
      </c>
      <c r="F44">
        <v>1.3599999999999999</v>
      </c>
      <c r="G44">
        <v>49326.19418149414</v>
      </c>
      <c r="H44">
        <v>0.5</v>
      </c>
      <c r="I44">
        <v>0</v>
      </c>
      <c r="J44" t="str">
        <v/>
      </c>
      <c r="K44">
        <v>0</v>
      </c>
      <c r="L44" t="str">
        <v/>
      </c>
      <c r="M44">
        <v>0</v>
      </c>
      <c r="N44" t="str">
        <v/>
      </c>
      <c r="O44">
        <v>0</v>
      </c>
      <c r="P44" t="str">
        <v/>
      </c>
      <c r="Q44">
        <v>5790629.882812501</v>
      </c>
      <c r="R44">
        <v>1.1</v>
      </c>
      <c r="S44" t="str">
        <v>design sheet</v>
      </c>
    </row>
    <row r="45">
      <c r="A45" t="str">
        <v/>
      </c>
      <c r="B45">
        <v>20</v>
      </c>
      <c r="C45">
        <v>3.566440179302399</v>
      </c>
      <c r="D45">
        <v>2</v>
      </c>
      <c r="E45">
        <v>157843.82138078124</v>
      </c>
      <c r="F45">
        <v>1.6</v>
      </c>
      <c r="G45">
        <v>78921.91069039062</v>
      </c>
      <c r="H45">
        <v>0.5</v>
      </c>
      <c r="I45">
        <v>0</v>
      </c>
      <c r="J45" t="str">
        <v/>
      </c>
      <c r="K45">
        <v>0</v>
      </c>
      <c r="L45" t="str">
        <v/>
      </c>
      <c r="M45">
        <v>0</v>
      </c>
      <c r="N45" t="str">
        <v/>
      </c>
      <c r="O45">
        <v>0</v>
      </c>
      <c r="P45" t="str">
        <v/>
      </c>
      <c r="Q45">
        <v>6369692.871093752</v>
      </c>
      <c r="R45">
        <v>1.1</v>
      </c>
      <c r="S45" t="str">
        <v>design sheet</v>
      </c>
    </row>
    <row r="47">
      <c r="A47" t="str">
        <v>Office supply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/>
      </c>
      <c r="K47">
        <v>0</v>
      </c>
      <c r="L47" t="str">
        <v/>
      </c>
      <c r="M47">
        <v>0</v>
      </c>
      <c r="N47" t="str">
        <v/>
      </c>
      <c r="O47">
        <v>2</v>
      </c>
      <c r="P47" t="str">
        <v/>
      </c>
      <c r="Q47">
        <v>80</v>
      </c>
      <c r="R47" t="str">
        <v/>
      </c>
      <c r="S47" t="str">
        <v>design sheet</v>
      </c>
    </row>
    <row r="48">
      <c r="A48" t="str">
        <v/>
      </c>
      <c r="B48">
        <v>2</v>
      </c>
      <c r="C48">
        <v>0.001</v>
      </c>
      <c r="D48">
        <v>0</v>
      </c>
      <c r="E48">
        <v>0</v>
      </c>
      <c r="F48">
        <v>0.7</v>
      </c>
      <c r="G48">
        <v>0</v>
      </c>
      <c r="H48">
        <v>0</v>
      </c>
      <c r="I48">
        <v>0</v>
      </c>
      <c r="J48" t="str">
        <v/>
      </c>
      <c r="K48">
        <v>0</v>
      </c>
      <c r="L48" t="str">
        <v/>
      </c>
      <c r="M48">
        <v>0</v>
      </c>
      <c r="N48" t="str">
        <v/>
      </c>
      <c r="O48">
        <v>3</v>
      </c>
      <c r="P48" t="str">
        <v/>
      </c>
      <c r="Q48">
        <v>100</v>
      </c>
      <c r="R48">
        <v>1.25</v>
      </c>
      <c r="S48" t="str">
        <v>design sheet</v>
      </c>
    </row>
    <row r="49">
      <c r="A49" t="str">
        <v/>
      </c>
      <c r="B49">
        <v>3</v>
      </c>
      <c r="C49">
        <v>0.002</v>
      </c>
      <c r="D49">
        <v>2</v>
      </c>
      <c r="E49">
        <v>0</v>
      </c>
      <c r="F49">
        <v>0.7</v>
      </c>
      <c r="G49">
        <v>0</v>
      </c>
      <c r="H49">
        <v>0</v>
      </c>
      <c r="I49">
        <v>0</v>
      </c>
      <c r="J49" t="str">
        <v/>
      </c>
      <c r="K49">
        <v>0</v>
      </c>
      <c r="L49" t="str">
        <v/>
      </c>
      <c r="M49">
        <v>0</v>
      </c>
      <c r="N49" t="str">
        <v/>
      </c>
      <c r="O49">
        <v>4</v>
      </c>
      <c r="P49" t="str">
        <v/>
      </c>
      <c r="Q49">
        <v>125</v>
      </c>
      <c r="R49">
        <v>1.25</v>
      </c>
      <c r="S49" t="str">
        <v>design sheet</v>
      </c>
    </row>
    <row r="50">
      <c r="A50" t="str">
        <v/>
      </c>
      <c r="B50">
        <v>4</v>
      </c>
      <c r="C50">
        <v>0.004</v>
      </c>
      <c r="D50">
        <v>2</v>
      </c>
      <c r="E50">
        <v>0</v>
      </c>
      <c r="F50">
        <v>0.7</v>
      </c>
      <c r="G50">
        <v>0</v>
      </c>
      <c r="H50">
        <v>0</v>
      </c>
      <c r="I50">
        <v>0</v>
      </c>
      <c r="J50" t="str">
        <v/>
      </c>
      <c r="K50">
        <v>0</v>
      </c>
      <c r="L50" t="str">
        <v/>
      </c>
      <c r="M50">
        <v>0</v>
      </c>
      <c r="N50" t="str">
        <v/>
      </c>
      <c r="O50">
        <v>5</v>
      </c>
      <c r="P50" t="str">
        <v/>
      </c>
      <c r="Q50">
        <v>156.25</v>
      </c>
      <c r="R50">
        <v>1.25</v>
      </c>
      <c r="S50" t="str">
        <v>design sheet</v>
      </c>
    </row>
    <row r="51">
      <c r="A51" t="str">
        <v/>
      </c>
      <c r="B51">
        <v>5</v>
      </c>
      <c r="C51">
        <v>0.02</v>
      </c>
      <c r="D51">
        <v>5</v>
      </c>
      <c r="E51">
        <v>0</v>
      </c>
      <c r="F51">
        <v>0.7</v>
      </c>
      <c r="G51">
        <v>0</v>
      </c>
      <c r="H51">
        <v>0</v>
      </c>
      <c r="I51">
        <v>0</v>
      </c>
      <c r="J51" t="str">
        <v/>
      </c>
      <c r="K51">
        <v>0</v>
      </c>
      <c r="L51" t="str">
        <v/>
      </c>
      <c r="M51">
        <v>0</v>
      </c>
      <c r="N51" t="str">
        <v/>
      </c>
      <c r="O51">
        <v>10</v>
      </c>
      <c r="P51" t="str">
        <v/>
      </c>
      <c r="Q51">
        <v>312.5</v>
      </c>
      <c r="R51">
        <v>2</v>
      </c>
      <c r="S51" t="str">
        <v>design sheet</v>
      </c>
    </row>
    <row r="52">
      <c r="A52" t="str">
        <v/>
      </c>
      <c r="B52">
        <v>6</v>
      </c>
      <c r="C52">
        <v>0.024</v>
      </c>
      <c r="D52">
        <v>1.2</v>
      </c>
      <c r="E52">
        <v>0</v>
      </c>
      <c r="F52">
        <v>0.7</v>
      </c>
      <c r="G52">
        <v>0</v>
      </c>
      <c r="H52">
        <v>0</v>
      </c>
      <c r="I52">
        <v>0</v>
      </c>
      <c r="J52" t="str">
        <v/>
      </c>
      <c r="K52">
        <v>0</v>
      </c>
      <c r="L52" t="str">
        <v/>
      </c>
      <c r="M52">
        <v>0</v>
      </c>
      <c r="N52" t="str">
        <v/>
      </c>
      <c r="O52">
        <v>13</v>
      </c>
      <c r="P52" t="str">
        <v/>
      </c>
      <c r="Q52">
        <v>390.625</v>
      </c>
      <c r="R52">
        <v>1.25</v>
      </c>
      <c r="S52" t="str">
        <v>design sheet</v>
      </c>
    </row>
    <row r="53">
      <c r="A53" t="str">
        <v/>
      </c>
      <c r="B53">
        <v>7</v>
      </c>
      <c r="C53">
        <v>0.0288</v>
      </c>
      <c r="D53">
        <v>1.2</v>
      </c>
      <c r="E53">
        <v>0</v>
      </c>
      <c r="F53">
        <v>0.7</v>
      </c>
      <c r="G53">
        <v>0</v>
      </c>
      <c r="H53">
        <v>0</v>
      </c>
      <c r="I53">
        <v>0</v>
      </c>
      <c r="J53" t="str">
        <v/>
      </c>
      <c r="K53">
        <v>0</v>
      </c>
      <c r="L53" t="str">
        <v/>
      </c>
      <c r="M53">
        <v>0</v>
      </c>
      <c r="N53" t="str">
        <v/>
      </c>
      <c r="O53">
        <v>17</v>
      </c>
      <c r="P53" t="str">
        <v/>
      </c>
      <c r="Q53">
        <v>488.28125</v>
      </c>
      <c r="R53">
        <v>1.25</v>
      </c>
      <c r="S53" t="str">
        <v>design sheet</v>
      </c>
    </row>
    <row r="54">
      <c r="A54" t="str">
        <v/>
      </c>
      <c r="B54">
        <v>8</v>
      </c>
      <c r="C54">
        <v>0.03456</v>
      </c>
      <c r="D54">
        <v>1.2</v>
      </c>
      <c r="E54">
        <v>0</v>
      </c>
      <c r="F54">
        <v>0.7</v>
      </c>
      <c r="G54">
        <v>0</v>
      </c>
      <c r="H54">
        <v>0</v>
      </c>
      <c r="I54">
        <v>0</v>
      </c>
      <c r="J54" t="str">
        <v/>
      </c>
      <c r="K54">
        <v>0</v>
      </c>
      <c r="L54" t="str">
        <v/>
      </c>
      <c r="M54">
        <v>0</v>
      </c>
      <c r="N54" t="str">
        <v/>
      </c>
      <c r="O54">
        <v>22</v>
      </c>
      <c r="P54" t="str">
        <v/>
      </c>
      <c r="Q54">
        <v>610.3515625</v>
      </c>
      <c r="R54">
        <v>1.25</v>
      </c>
      <c r="S54" t="str">
        <v>design sheet</v>
      </c>
    </row>
    <row r="55">
      <c r="A55" t="str">
        <v/>
      </c>
      <c r="B55">
        <v>9</v>
      </c>
      <c r="C55">
        <v>0.041472</v>
      </c>
      <c r="D55">
        <v>1.2</v>
      </c>
      <c r="E55">
        <v>0</v>
      </c>
      <c r="F55">
        <v>0.7</v>
      </c>
      <c r="G55">
        <v>0</v>
      </c>
      <c r="H55">
        <v>0</v>
      </c>
      <c r="I55">
        <v>0</v>
      </c>
      <c r="J55" t="str">
        <v/>
      </c>
      <c r="K55">
        <v>0</v>
      </c>
      <c r="L55" t="str">
        <v/>
      </c>
      <c r="M55">
        <v>0</v>
      </c>
      <c r="N55" t="str">
        <v/>
      </c>
      <c r="O55">
        <v>28</v>
      </c>
      <c r="P55" t="str">
        <v/>
      </c>
      <c r="Q55">
        <v>762.939453125</v>
      </c>
      <c r="R55">
        <v>1.25</v>
      </c>
      <c r="S55" t="str">
        <v>design sheet</v>
      </c>
    </row>
    <row r="56">
      <c r="A56" t="str">
        <v/>
      </c>
      <c r="B56">
        <v>10</v>
      </c>
      <c r="C56">
        <v>0.165888</v>
      </c>
      <c r="D56">
        <v>4</v>
      </c>
      <c r="E56">
        <v>0</v>
      </c>
      <c r="F56">
        <v>0.7</v>
      </c>
      <c r="G56">
        <v>0</v>
      </c>
      <c r="H56">
        <v>0</v>
      </c>
      <c r="I56">
        <v>0</v>
      </c>
      <c r="J56" t="str">
        <v/>
      </c>
      <c r="K56">
        <v>0</v>
      </c>
      <c r="L56" t="str">
        <v/>
      </c>
      <c r="M56">
        <v>0</v>
      </c>
      <c r="N56" t="str">
        <v/>
      </c>
      <c r="O56">
        <v>56</v>
      </c>
      <c r="P56" t="str">
        <v/>
      </c>
      <c r="Q56">
        <v>1525.87890625</v>
      </c>
      <c r="R56">
        <v>2</v>
      </c>
      <c r="S56" t="str">
        <v>design sheet</v>
      </c>
    </row>
    <row r="57">
      <c r="A57" t="str">
        <v/>
      </c>
      <c r="B57">
        <v>11</v>
      </c>
      <c r="C57">
        <v>0.1990656</v>
      </c>
      <c r="D57">
        <v>1.2</v>
      </c>
      <c r="E57">
        <v>0</v>
      </c>
      <c r="F57">
        <v>0.7</v>
      </c>
      <c r="G57">
        <v>0</v>
      </c>
      <c r="H57">
        <v>0</v>
      </c>
      <c r="I57">
        <v>0</v>
      </c>
      <c r="J57" t="str">
        <v/>
      </c>
      <c r="K57">
        <v>0</v>
      </c>
      <c r="L57" t="str">
        <v/>
      </c>
      <c r="M57">
        <v>0</v>
      </c>
      <c r="N57" t="str">
        <v/>
      </c>
      <c r="O57">
        <v>59</v>
      </c>
      <c r="P57" t="str">
        <v/>
      </c>
      <c r="Q57">
        <v>1831.0546875</v>
      </c>
      <c r="R57">
        <v>1.2</v>
      </c>
      <c r="S57" t="str">
        <v>design sheet</v>
      </c>
    </row>
    <row r="58">
      <c r="A58" t="str">
        <v/>
      </c>
      <c r="B58">
        <v>12</v>
      </c>
      <c r="C58">
        <v>0.23887872</v>
      </c>
      <c r="D58">
        <v>1.2</v>
      </c>
      <c r="E58">
        <v>0</v>
      </c>
      <c r="F58">
        <v>0.7</v>
      </c>
      <c r="G58">
        <v>0</v>
      </c>
      <c r="H58">
        <v>0</v>
      </c>
      <c r="I58">
        <v>0</v>
      </c>
      <c r="J58" t="str">
        <v/>
      </c>
      <c r="K58">
        <v>0</v>
      </c>
      <c r="L58" t="str">
        <v/>
      </c>
      <c r="M58">
        <v>0</v>
      </c>
      <c r="N58" t="str">
        <v/>
      </c>
      <c r="O58">
        <v>62</v>
      </c>
      <c r="P58" t="str">
        <v/>
      </c>
      <c r="Q58">
        <v>2197.265625</v>
      </c>
      <c r="R58">
        <v>1.2</v>
      </c>
      <c r="S58" t="str">
        <v>design sheet</v>
      </c>
    </row>
    <row r="59">
      <c r="A59" t="str">
        <v/>
      </c>
      <c r="B59">
        <v>13</v>
      </c>
      <c r="C59">
        <v>0.286654464</v>
      </c>
      <c r="D59">
        <v>1.2</v>
      </c>
      <c r="E59">
        <v>0</v>
      </c>
      <c r="F59">
        <v>0.7</v>
      </c>
      <c r="G59">
        <v>0</v>
      </c>
      <c r="H59">
        <v>0</v>
      </c>
      <c r="I59">
        <v>0</v>
      </c>
      <c r="J59" t="str">
        <v/>
      </c>
      <c r="K59">
        <v>0</v>
      </c>
      <c r="L59" t="str">
        <v/>
      </c>
      <c r="M59">
        <v>0</v>
      </c>
      <c r="N59" t="str">
        <v/>
      </c>
      <c r="O59">
        <v>66</v>
      </c>
      <c r="P59" t="str">
        <v/>
      </c>
      <c r="Q59">
        <v>2636.71875</v>
      </c>
      <c r="R59">
        <v>1.2</v>
      </c>
      <c r="S59" t="str">
        <v>design sheet</v>
      </c>
    </row>
    <row r="60">
      <c r="A60" t="str">
        <v/>
      </c>
      <c r="B60">
        <v>14</v>
      </c>
      <c r="C60">
        <v>0.3439853568</v>
      </c>
      <c r="D60">
        <v>1.2</v>
      </c>
      <c r="E60">
        <v>0</v>
      </c>
      <c r="F60">
        <v>0.7</v>
      </c>
      <c r="G60">
        <v>0</v>
      </c>
      <c r="H60">
        <v>0</v>
      </c>
      <c r="I60">
        <v>0</v>
      </c>
      <c r="J60" t="str">
        <v/>
      </c>
      <c r="K60">
        <v>0</v>
      </c>
      <c r="L60" t="str">
        <v/>
      </c>
      <c r="M60">
        <v>0</v>
      </c>
      <c r="N60" t="str">
        <v/>
      </c>
      <c r="O60">
        <v>70</v>
      </c>
      <c r="P60" t="str">
        <v/>
      </c>
      <c r="Q60">
        <v>3164.0625</v>
      </c>
      <c r="R60">
        <v>1.2</v>
      </c>
      <c r="S60" t="str">
        <v>design sheet</v>
      </c>
    </row>
    <row r="61">
      <c r="A61" t="str">
        <v/>
      </c>
      <c r="B61">
        <v>15</v>
      </c>
      <c r="C61">
        <v>0.8599633919999999</v>
      </c>
      <c r="D61">
        <v>2.5</v>
      </c>
      <c r="E61">
        <v>0</v>
      </c>
      <c r="F61">
        <v>0.7</v>
      </c>
      <c r="G61">
        <v>0</v>
      </c>
      <c r="H61">
        <v>0</v>
      </c>
      <c r="I61">
        <v>0</v>
      </c>
      <c r="J61" t="str">
        <v/>
      </c>
      <c r="K61">
        <v>0</v>
      </c>
      <c r="L61" t="str">
        <v/>
      </c>
      <c r="M61">
        <v>0</v>
      </c>
      <c r="N61" t="str">
        <v/>
      </c>
      <c r="O61">
        <v>140</v>
      </c>
      <c r="P61" t="str">
        <v/>
      </c>
      <c r="Q61">
        <v>6328.125</v>
      </c>
      <c r="R61">
        <v>2</v>
      </c>
      <c r="S61" t="str">
        <v>design sheet</v>
      </c>
    </row>
    <row r="62">
      <c r="A62" t="str">
        <v/>
      </c>
      <c r="B62">
        <v>16</v>
      </c>
      <c r="C62">
        <v>1.0319560704</v>
      </c>
      <c r="D62">
        <v>1.2</v>
      </c>
      <c r="E62">
        <v>0</v>
      </c>
      <c r="F62">
        <v>0.7</v>
      </c>
      <c r="G62">
        <v>0</v>
      </c>
      <c r="H62">
        <v>0</v>
      </c>
      <c r="I62">
        <v>0</v>
      </c>
      <c r="J62" t="str">
        <v/>
      </c>
      <c r="K62">
        <v>0</v>
      </c>
      <c r="L62" t="str">
        <v/>
      </c>
      <c r="M62">
        <v>0</v>
      </c>
      <c r="N62" t="str">
        <v/>
      </c>
      <c r="O62">
        <v>147</v>
      </c>
      <c r="P62" t="str">
        <v/>
      </c>
      <c r="Q62">
        <v>6960.937500000001</v>
      </c>
      <c r="R62">
        <v>1.1</v>
      </c>
      <c r="S62" t="str">
        <v>design sheet</v>
      </c>
    </row>
    <row r="63">
      <c r="A63" t="str">
        <v/>
      </c>
      <c r="B63">
        <v>17</v>
      </c>
      <c r="C63">
        <v>1.2383472844799999</v>
      </c>
      <c r="D63">
        <v>1.2</v>
      </c>
      <c r="E63">
        <v>0</v>
      </c>
      <c r="F63">
        <v>0.7</v>
      </c>
      <c r="G63">
        <v>0</v>
      </c>
      <c r="H63">
        <v>0</v>
      </c>
      <c r="I63">
        <v>0</v>
      </c>
      <c r="J63" t="str">
        <v/>
      </c>
      <c r="K63">
        <v>0</v>
      </c>
      <c r="L63" t="str">
        <v/>
      </c>
      <c r="M63">
        <v>0</v>
      </c>
      <c r="N63" t="str">
        <v/>
      </c>
      <c r="O63">
        <v>155</v>
      </c>
      <c r="P63" t="str">
        <v/>
      </c>
      <c r="Q63">
        <v>7657.031250000002</v>
      </c>
      <c r="R63">
        <v>1.1</v>
      </c>
      <c r="S63" t="str">
        <v>design sheet</v>
      </c>
    </row>
    <row r="64">
      <c r="A64" t="str">
        <v/>
      </c>
      <c r="B64">
        <v>18</v>
      </c>
      <c r="C64">
        <v>1.4860167413759997</v>
      </c>
      <c r="D64">
        <v>1.2</v>
      </c>
      <c r="E64">
        <v>0</v>
      </c>
      <c r="F64">
        <v>0.7</v>
      </c>
      <c r="G64">
        <v>0</v>
      </c>
      <c r="H64">
        <v>0</v>
      </c>
      <c r="I64">
        <v>0</v>
      </c>
      <c r="J64" t="str">
        <v/>
      </c>
      <c r="K64">
        <v>0</v>
      </c>
      <c r="L64" t="str">
        <v/>
      </c>
      <c r="M64">
        <v>0</v>
      </c>
      <c r="N64" t="str">
        <v/>
      </c>
      <c r="O64">
        <v>163</v>
      </c>
      <c r="P64" t="str">
        <v/>
      </c>
      <c r="Q64">
        <v>8422.734375000002</v>
      </c>
      <c r="R64">
        <v>1.1</v>
      </c>
      <c r="S64" t="str">
        <v>design sheet</v>
      </c>
    </row>
    <row r="65">
      <c r="A65" t="str">
        <v/>
      </c>
      <c r="B65">
        <v>19</v>
      </c>
      <c r="C65">
        <v>1.7832200896511996</v>
      </c>
      <c r="D65">
        <v>1.2</v>
      </c>
      <c r="E65">
        <v>0</v>
      </c>
      <c r="F65">
        <v>0.7</v>
      </c>
      <c r="G65">
        <v>0</v>
      </c>
      <c r="H65">
        <v>0</v>
      </c>
      <c r="I65">
        <v>0</v>
      </c>
      <c r="J65" t="str">
        <v/>
      </c>
      <c r="K65">
        <v>0</v>
      </c>
      <c r="L65" t="str">
        <v/>
      </c>
      <c r="M65">
        <v>0</v>
      </c>
      <c r="N65" t="str">
        <v/>
      </c>
      <c r="O65">
        <v>172</v>
      </c>
      <c r="P65" t="str">
        <v/>
      </c>
      <c r="Q65">
        <v>9265.007812500004</v>
      </c>
      <c r="R65">
        <v>1.1</v>
      </c>
      <c r="S65" t="str">
        <v>design sheet</v>
      </c>
    </row>
    <row r="66">
      <c r="A66" t="str">
        <v/>
      </c>
      <c r="B66">
        <v>20</v>
      </c>
      <c r="C66">
        <v>3.566440179302399</v>
      </c>
      <c r="D66">
        <v>2</v>
      </c>
      <c r="E66">
        <v>0</v>
      </c>
      <c r="F66">
        <v>0.7</v>
      </c>
      <c r="G66">
        <v>0</v>
      </c>
      <c r="H66">
        <v>0</v>
      </c>
      <c r="I66">
        <v>0</v>
      </c>
      <c r="J66" t="str">
        <v/>
      </c>
      <c r="K66">
        <v>0</v>
      </c>
      <c r="L66" t="str">
        <v/>
      </c>
      <c r="M66">
        <v>0</v>
      </c>
      <c r="N66" t="str">
        <v/>
      </c>
      <c r="O66">
        <v>190</v>
      </c>
      <c r="P66" t="str">
        <v/>
      </c>
      <c r="Q66">
        <v>10191.508593750004</v>
      </c>
      <c r="R66">
        <v>1.1</v>
      </c>
      <c r="S66" t="str">
        <v>design sheet</v>
      </c>
    </row>
    <row r="68">
      <c r="A68" t="str">
        <v>Storage Room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tr">
        <v/>
      </c>
      <c r="K68">
        <v>0</v>
      </c>
      <c r="L68" t="str">
        <v/>
      </c>
      <c r="M68">
        <v>0</v>
      </c>
      <c r="N68" t="str">
        <v/>
      </c>
      <c r="O68">
        <v>2</v>
      </c>
      <c r="P68" t="str">
        <v/>
      </c>
      <c r="Q68">
        <v>2000</v>
      </c>
      <c r="R68" t="str">
        <v/>
      </c>
      <c r="S68" t="str">
        <v>design sheet</v>
      </c>
    </row>
    <row r="69">
      <c r="A69" t="str">
        <v/>
      </c>
      <c r="B69">
        <v>2</v>
      </c>
      <c r="C69">
        <v>0.001</v>
      </c>
      <c r="D69">
        <v>0</v>
      </c>
      <c r="E69">
        <v>120</v>
      </c>
      <c r="F69" t="str">
        <v/>
      </c>
      <c r="G69">
        <v>30</v>
      </c>
      <c r="H69" t="str">
        <v/>
      </c>
      <c r="I69">
        <v>0</v>
      </c>
      <c r="J69" t="str">
        <v/>
      </c>
      <c r="K69">
        <v>0</v>
      </c>
      <c r="L69" t="str">
        <v/>
      </c>
      <c r="M69">
        <v>0</v>
      </c>
      <c r="N69" t="str">
        <v/>
      </c>
      <c r="O69">
        <v>2</v>
      </c>
      <c r="P69" t="str">
        <v/>
      </c>
      <c r="Q69">
        <v>2500</v>
      </c>
      <c r="R69">
        <v>1.25</v>
      </c>
      <c r="S69" t="str">
        <v>design sheet</v>
      </c>
    </row>
    <row r="70">
      <c r="A70" t="str">
        <v/>
      </c>
      <c r="B70">
        <v>3</v>
      </c>
      <c r="C70">
        <v>0.002</v>
      </c>
      <c r="D70">
        <v>2</v>
      </c>
      <c r="E70">
        <v>192</v>
      </c>
      <c r="F70">
        <v>1.6</v>
      </c>
      <c r="G70">
        <v>44.4</v>
      </c>
      <c r="H70">
        <v>1.48</v>
      </c>
      <c r="I70">
        <v>0</v>
      </c>
      <c r="J70" t="str">
        <v/>
      </c>
      <c r="K70">
        <v>0</v>
      </c>
      <c r="L70" t="str">
        <v/>
      </c>
      <c r="M70">
        <v>0</v>
      </c>
      <c r="N70" t="str">
        <v/>
      </c>
      <c r="O70">
        <v>2</v>
      </c>
      <c r="P70" t="str">
        <v/>
      </c>
      <c r="Q70">
        <v>3125</v>
      </c>
      <c r="R70">
        <v>1.25</v>
      </c>
      <c r="S70" t="str">
        <v>design sheet</v>
      </c>
    </row>
    <row r="71">
      <c r="A71" t="str">
        <v/>
      </c>
      <c r="B71">
        <v>4</v>
      </c>
      <c r="C71">
        <v>0.004</v>
      </c>
      <c r="D71">
        <v>2</v>
      </c>
      <c r="E71">
        <v>307.20000000000005</v>
      </c>
      <c r="F71">
        <v>1.6</v>
      </c>
      <c r="G71">
        <v>65.712</v>
      </c>
      <c r="H71">
        <v>1.48</v>
      </c>
      <c r="I71">
        <v>0</v>
      </c>
      <c r="J71" t="str">
        <v/>
      </c>
      <c r="K71">
        <v>0</v>
      </c>
      <c r="L71" t="str">
        <v/>
      </c>
      <c r="M71">
        <v>0</v>
      </c>
      <c r="N71" t="str">
        <v/>
      </c>
      <c r="O71">
        <v>2</v>
      </c>
      <c r="P71" t="str">
        <v/>
      </c>
      <c r="Q71">
        <v>3906.25</v>
      </c>
      <c r="R71">
        <v>1.25</v>
      </c>
      <c r="S71" t="str">
        <v>design sheet</v>
      </c>
    </row>
    <row r="72">
      <c r="A72" t="str">
        <v/>
      </c>
      <c r="B72">
        <v>5</v>
      </c>
      <c r="C72">
        <v>0.02</v>
      </c>
      <c r="D72">
        <v>5</v>
      </c>
      <c r="E72">
        <v>768.0000000000001</v>
      </c>
      <c r="F72">
        <v>2.5</v>
      </c>
      <c r="G72">
        <v>97.25376</v>
      </c>
      <c r="H72">
        <v>1.75</v>
      </c>
      <c r="I72">
        <v>0</v>
      </c>
      <c r="J72" t="str">
        <v/>
      </c>
      <c r="K72">
        <v>0</v>
      </c>
      <c r="L72" t="str">
        <v/>
      </c>
      <c r="M72">
        <v>0</v>
      </c>
      <c r="N72" t="str">
        <v/>
      </c>
      <c r="O72">
        <v>10</v>
      </c>
      <c r="P72" t="str">
        <v/>
      </c>
      <c r="Q72">
        <v>7812.5</v>
      </c>
      <c r="R72">
        <v>2</v>
      </c>
      <c r="S72" t="str">
        <v>design sheet</v>
      </c>
    </row>
    <row r="73">
      <c r="A73" t="str">
        <v/>
      </c>
      <c r="B73">
        <v>6</v>
      </c>
      <c r="C73">
        <v>0.024</v>
      </c>
      <c r="D73">
        <v>1.2</v>
      </c>
      <c r="E73">
        <v>1044.48</v>
      </c>
      <c r="F73">
        <v>1.3599999999999999</v>
      </c>
      <c r="G73">
        <v>170.19407999999999</v>
      </c>
      <c r="H73">
        <v>1.408</v>
      </c>
      <c r="I73">
        <v>0</v>
      </c>
      <c r="J73" t="str">
        <v/>
      </c>
      <c r="K73">
        <v>0</v>
      </c>
      <c r="L73" t="str">
        <v/>
      </c>
      <c r="M73">
        <v>0</v>
      </c>
      <c r="N73" t="str">
        <v/>
      </c>
      <c r="O73">
        <v>10</v>
      </c>
      <c r="P73" t="str">
        <v/>
      </c>
      <c r="Q73">
        <v>9765.625</v>
      </c>
      <c r="R73">
        <v>1.25</v>
      </c>
      <c r="S73" t="str">
        <v>design sheet</v>
      </c>
    </row>
    <row r="74">
      <c r="A74" t="str">
        <v/>
      </c>
      <c r="B74">
        <v>7</v>
      </c>
      <c r="C74">
        <v>0.0288</v>
      </c>
      <c r="D74">
        <v>1.2</v>
      </c>
      <c r="E74">
        <v>1420.4928</v>
      </c>
      <c r="F74">
        <v>1.3599999999999999</v>
      </c>
      <c r="G74">
        <v>239.63326463999996</v>
      </c>
      <c r="H74">
        <v>1.408</v>
      </c>
      <c r="I74">
        <v>0</v>
      </c>
      <c r="J74" t="str">
        <v/>
      </c>
      <c r="K74">
        <v>0</v>
      </c>
      <c r="L74" t="str">
        <v/>
      </c>
      <c r="M74">
        <v>0</v>
      </c>
      <c r="N74" t="str">
        <v/>
      </c>
      <c r="O74">
        <v>10</v>
      </c>
      <c r="P74" t="str">
        <v/>
      </c>
      <c r="Q74">
        <v>12207.03125</v>
      </c>
      <c r="R74">
        <v>1.25</v>
      </c>
      <c r="S74" t="str">
        <v>design sheet</v>
      </c>
    </row>
    <row r="75">
      <c r="A75" t="str">
        <v/>
      </c>
      <c r="B75">
        <v>8</v>
      </c>
      <c r="C75">
        <v>0.03456</v>
      </c>
      <c r="D75">
        <v>1.2</v>
      </c>
      <c r="E75">
        <v>1931.8702079999998</v>
      </c>
      <c r="F75">
        <v>1.3599999999999999</v>
      </c>
      <c r="G75">
        <v>337.40363661311994</v>
      </c>
      <c r="H75">
        <v>1.408</v>
      </c>
      <c r="I75">
        <v>0</v>
      </c>
      <c r="J75" t="str">
        <v/>
      </c>
      <c r="K75">
        <v>0</v>
      </c>
      <c r="L75" t="str">
        <v/>
      </c>
      <c r="M75">
        <v>0</v>
      </c>
      <c r="N75" t="str">
        <v/>
      </c>
      <c r="O75">
        <v>10</v>
      </c>
      <c r="P75" t="str">
        <v/>
      </c>
      <c r="Q75">
        <v>15258.7890625</v>
      </c>
      <c r="R75">
        <v>1.25</v>
      </c>
      <c r="S75" t="str">
        <v>design sheet</v>
      </c>
    </row>
    <row r="76">
      <c r="A76" t="str">
        <v/>
      </c>
      <c r="B76">
        <v>9</v>
      </c>
      <c r="C76">
        <v>0.041472</v>
      </c>
      <c r="D76">
        <v>1.2</v>
      </c>
      <c r="E76">
        <v>2627.3434828799996</v>
      </c>
      <c r="F76">
        <v>1.3599999999999999</v>
      </c>
      <c r="G76">
        <v>475.06432035127284</v>
      </c>
      <c r="H76">
        <v>1.408</v>
      </c>
      <c r="I76">
        <v>0</v>
      </c>
      <c r="J76" t="str">
        <v/>
      </c>
      <c r="K76">
        <v>0</v>
      </c>
      <c r="L76" t="str">
        <v/>
      </c>
      <c r="M76">
        <v>0</v>
      </c>
      <c r="N76" t="str">
        <v/>
      </c>
      <c r="O76">
        <v>10</v>
      </c>
      <c r="P76" t="str">
        <v/>
      </c>
      <c r="Q76">
        <v>19073.486328125</v>
      </c>
      <c r="R76">
        <v>1.25</v>
      </c>
      <c r="S76" t="str">
        <v>design sheet</v>
      </c>
    </row>
    <row r="77">
      <c r="A77" t="str">
        <v/>
      </c>
      <c r="B77">
        <v>10</v>
      </c>
      <c r="C77">
        <v>0.165888</v>
      </c>
      <c r="D77">
        <v>4</v>
      </c>
      <c r="E77">
        <v>5780.155662335999</v>
      </c>
      <c r="F77">
        <v>2.2</v>
      </c>
      <c r="G77">
        <v>668.8905630545921</v>
      </c>
      <c r="H77">
        <v>1.6600000000000001</v>
      </c>
      <c r="I77">
        <v>0</v>
      </c>
      <c r="J77" t="str">
        <v/>
      </c>
      <c r="K77">
        <v>0</v>
      </c>
      <c r="L77" t="str">
        <v/>
      </c>
      <c r="M77">
        <v>0</v>
      </c>
      <c r="N77" t="str">
        <v/>
      </c>
      <c r="O77">
        <v>30</v>
      </c>
      <c r="P77" t="str">
        <v/>
      </c>
      <c r="Q77">
        <v>38146.97265625</v>
      </c>
      <c r="R77">
        <v>2</v>
      </c>
      <c r="S77" t="str">
        <v>design sheet</v>
      </c>
    </row>
    <row r="78">
      <c r="A78" t="str">
        <v/>
      </c>
      <c r="B78">
        <v>11</v>
      </c>
      <c r="C78">
        <v>0.1990656</v>
      </c>
      <c r="D78">
        <v>1.2</v>
      </c>
      <c r="E78">
        <v>7861.011700776959</v>
      </c>
      <c r="F78">
        <v>1.3599999999999999</v>
      </c>
      <c r="G78">
        <v>1110.358334670623</v>
      </c>
      <c r="H78">
        <v>1.408</v>
      </c>
      <c r="I78">
        <v>0</v>
      </c>
      <c r="J78" t="str">
        <v/>
      </c>
      <c r="K78">
        <v>0</v>
      </c>
      <c r="L78" t="str">
        <v/>
      </c>
      <c r="M78">
        <v>0</v>
      </c>
      <c r="N78" t="str">
        <v/>
      </c>
      <c r="O78">
        <v>30</v>
      </c>
      <c r="P78" t="str">
        <v/>
      </c>
      <c r="Q78">
        <v>45776.3671875</v>
      </c>
      <c r="R78">
        <v>1.2</v>
      </c>
      <c r="S78" t="str">
        <v>design sheet</v>
      </c>
    </row>
    <row r="79">
      <c r="A79" t="str">
        <v/>
      </c>
      <c r="B79">
        <v>12</v>
      </c>
      <c r="C79">
        <v>0.23887872</v>
      </c>
      <c r="D79">
        <v>1.2</v>
      </c>
      <c r="E79">
        <v>10690.975913056664</v>
      </c>
      <c r="F79">
        <v>1.3599999999999999</v>
      </c>
      <c r="G79">
        <v>1563.384535216237</v>
      </c>
      <c r="H79">
        <v>1.408</v>
      </c>
      <c r="I79">
        <v>0</v>
      </c>
      <c r="J79" t="str">
        <v/>
      </c>
      <c r="K79">
        <v>0</v>
      </c>
      <c r="L79" t="str">
        <v/>
      </c>
      <c r="M79">
        <v>0</v>
      </c>
      <c r="N79" t="str">
        <v/>
      </c>
      <c r="O79">
        <v>30</v>
      </c>
      <c r="P79" t="str">
        <v/>
      </c>
      <c r="Q79">
        <v>54931.640625</v>
      </c>
      <c r="R79">
        <v>1.2</v>
      </c>
      <c r="S79" t="str">
        <v>design sheet</v>
      </c>
    </row>
    <row r="80">
      <c r="A80" t="str">
        <v/>
      </c>
      <c r="B80">
        <v>13</v>
      </c>
      <c r="C80">
        <v>0.286654464</v>
      </c>
      <c r="D80">
        <v>1.2</v>
      </c>
      <c r="E80">
        <v>14539.72724175706</v>
      </c>
      <c r="F80">
        <v>1.3599999999999999</v>
      </c>
      <c r="G80">
        <v>2201.245425584462</v>
      </c>
      <c r="H80">
        <v>1.408</v>
      </c>
      <c r="I80">
        <v>0</v>
      </c>
      <c r="J80" t="str">
        <v/>
      </c>
      <c r="K80">
        <v>0</v>
      </c>
      <c r="L80" t="str">
        <v/>
      </c>
      <c r="M80">
        <v>0</v>
      </c>
      <c r="N80" t="str">
        <v/>
      </c>
      <c r="O80">
        <v>30</v>
      </c>
      <c r="P80" t="str">
        <v/>
      </c>
      <c r="Q80">
        <v>65917.96875</v>
      </c>
      <c r="R80">
        <v>1.2</v>
      </c>
      <c r="S80" t="str">
        <v>design sheet</v>
      </c>
    </row>
    <row r="81">
      <c r="A81" t="str">
        <v/>
      </c>
      <c r="B81">
        <v>14</v>
      </c>
      <c r="C81">
        <v>0.3439853568</v>
      </c>
      <c r="D81">
        <v>1.2</v>
      </c>
      <c r="E81">
        <v>19774.0290487896</v>
      </c>
      <c r="F81">
        <v>1.3599999999999999</v>
      </c>
      <c r="G81">
        <v>3099.3535592229223</v>
      </c>
      <c r="H81">
        <v>1.408</v>
      </c>
      <c r="I81">
        <v>0</v>
      </c>
      <c r="J81" t="str">
        <v/>
      </c>
      <c r="K81">
        <v>0</v>
      </c>
      <c r="L81" t="str">
        <v/>
      </c>
      <c r="M81">
        <v>0</v>
      </c>
      <c r="N81" t="str">
        <v/>
      </c>
      <c r="O81">
        <v>30</v>
      </c>
      <c r="P81" t="str">
        <v/>
      </c>
      <c r="Q81">
        <v>79101.5625</v>
      </c>
      <c r="R81">
        <v>1.2</v>
      </c>
      <c r="S81" t="str">
        <v>design sheet</v>
      </c>
    </row>
    <row r="82">
      <c r="A82" t="str">
        <v/>
      </c>
      <c r="B82">
        <v>15</v>
      </c>
      <c r="C82">
        <v>0.8599633919999999</v>
      </c>
      <c r="D82">
        <v>2.5</v>
      </c>
      <c r="E82">
        <v>34604.5508353818</v>
      </c>
      <c r="F82">
        <v>1.75</v>
      </c>
      <c r="G82">
        <v>4363.889811385874</v>
      </c>
      <c r="H82">
        <v>1.525</v>
      </c>
      <c r="I82">
        <v>0</v>
      </c>
      <c r="J82" t="str">
        <v/>
      </c>
      <c r="K82">
        <v>0</v>
      </c>
      <c r="L82" t="str">
        <v/>
      </c>
      <c r="M82">
        <v>0</v>
      </c>
      <c r="N82" t="str">
        <v/>
      </c>
      <c r="O82">
        <v>60</v>
      </c>
      <c r="P82" t="str">
        <v/>
      </c>
      <c r="Q82">
        <v>158203.125</v>
      </c>
      <c r="R82">
        <v>2</v>
      </c>
      <c r="S82" t="str">
        <v>design sheet</v>
      </c>
    </row>
    <row r="83">
      <c r="A83" t="str">
        <v/>
      </c>
      <c r="B83">
        <v>16</v>
      </c>
      <c r="C83">
        <v>1.0319560704</v>
      </c>
      <c r="D83">
        <v>1.2</v>
      </c>
      <c r="E83">
        <v>47062.18913611925</v>
      </c>
      <c r="F83">
        <v>1.3599999999999999</v>
      </c>
      <c r="G83">
        <v>6654.931962363457</v>
      </c>
      <c r="H83">
        <v>1.408</v>
      </c>
      <c r="I83">
        <v>0</v>
      </c>
      <c r="J83" t="str">
        <v/>
      </c>
      <c r="K83">
        <v>0</v>
      </c>
      <c r="L83" t="str">
        <v/>
      </c>
      <c r="M83">
        <v>0</v>
      </c>
      <c r="N83" t="str">
        <v/>
      </c>
      <c r="O83">
        <v>60</v>
      </c>
      <c r="P83" t="str">
        <v/>
      </c>
      <c r="Q83">
        <v>174023.4375</v>
      </c>
      <c r="R83">
        <v>1.1</v>
      </c>
      <c r="S83" t="str">
        <v>design sheet</v>
      </c>
    </row>
    <row r="84">
      <c r="A84" t="str">
        <v/>
      </c>
      <c r="B84">
        <v>17</v>
      </c>
      <c r="C84">
        <v>1.2383472844799999</v>
      </c>
      <c r="D84">
        <v>1.2</v>
      </c>
      <c r="E84">
        <v>64004.57722512217</v>
      </c>
      <c r="F84">
        <v>1.3599999999999999</v>
      </c>
      <c r="G84">
        <v>9370.144203007747</v>
      </c>
      <c r="H84">
        <v>1.408</v>
      </c>
      <c r="I84">
        <v>0</v>
      </c>
      <c r="J84" t="str">
        <v/>
      </c>
      <c r="K84">
        <v>0</v>
      </c>
      <c r="L84" t="str">
        <v/>
      </c>
      <c r="M84">
        <v>0</v>
      </c>
      <c r="N84" t="str">
        <v/>
      </c>
      <c r="O84">
        <v>60</v>
      </c>
      <c r="P84" t="str">
        <v/>
      </c>
      <c r="Q84">
        <v>191425.78125000003</v>
      </c>
      <c r="R84">
        <v>1.1</v>
      </c>
      <c r="S84" t="str">
        <v>design sheet</v>
      </c>
    </row>
    <row r="85">
      <c r="A85" t="str">
        <v/>
      </c>
      <c r="B85">
        <v>18</v>
      </c>
      <c r="C85">
        <v>1.4860167413759997</v>
      </c>
      <c r="D85">
        <v>1.2</v>
      </c>
      <c r="E85">
        <v>87046.22502616614</v>
      </c>
      <c r="F85">
        <v>1.3599999999999999</v>
      </c>
      <c r="G85">
        <v>13193.163037834907</v>
      </c>
      <c r="H85">
        <v>1.408</v>
      </c>
      <c r="I85">
        <v>0</v>
      </c>
      <c r="J85" t="str">
        <v/>
      </c>
      <c r="K85">
        <v>0</v>
      </c>
      <c r="L85" t="str">
        <v/>
      </c>
      <c r="M85">
        <v>0</v>
      </c>
      <c r="N85" t="str">
        <v/>
      </c>
      <c r="O85">
        <v>60</v>
      </c>
      <c r="P85" t="str">
        <v/>
      </c>
      <c r="Q85">
        <v>210568.35937500006</v>
      </c>
      <c r="R85">
        <v>1.1</v>
      </c>
      <c r="S85" t="str">
        <v>design sheet</v>
      </c>
    </row>
    <row r="86">
      <c r="A86" t="str">
        <v/>
      </c>
      <c r="B86">
        <v>19</v>
      </c>
      <c r="C86">
        <v>1.7832200896511996</v>
      </c>
      <c r="D86">
        <v>1.2</v>
      </c>
      <c r="E86">
        <v>118382.86603558593</v>
      </c>
      <c r="F86">
        <v>1.3599999999999999</v>
      </c>
      <c r="G86">
        <v>18575.973557271547</v>
      </c>
      <c r="H86">
        <v>1.408</v>
      </c>
      <c r="I86">
        <v>0</v>
      </c>
      <c r="J86" t="str">
        <v/>
      </c>
      <c r="K86">
        <v>0</v>
      </c>
      <c r="L86" t="str">
        <v/>
      </c>
      <c r="M86">
        <v>0</v>
      </c>
      <c r="N86" t="str">
        <v/>
      </c>
      <c r="O86">
        <v>60</v>
      </c>
      <c r="P86" t="str">
        <v/>
      </c>
      <c r="Q86">
        <v>231625.1953125001</v>
      </c>
      <c r="R86">
        <v>1.1</v>
      </c>
      <c r="S86" t="str">
        <v>design sheet</v>
      </c>
    </row>
    <row r="87">
      <c r="A87" t="str">
        <v/>
      </c>
      <c r="B87">
        <v>20</v>
      </c>
      <c r="C87">
        <v>3.566440179302399</v>
      </c>
      <c r="D87">
        <v>2</v>
      </c>
      <c r="E87">
        <v>189412.5856569375</v>
      </c>
      <c r="F87">
        <v>1.6</v>
      </c>
      <c r="G87">
        <v>26154.970768638337</v>
      </c>
      <c r="H87">
        <v>1.48</v>
      </c>
      <c r="I87">
        <v>0</v>
      </c>
      <c r="J87" t="str">
        <v/>
      </c>
      <c r="K87">
        <v>0</v>
      </c>
      <c r="L87" t="str">
        <v/>
      </c>
      <c r="M87">
        <v>0</v>
      </c>
      <c r="N87" t="str">
        <v/>
      </c>
      <c r="O87">
        <v>120</v>
      </c>
      <c r="P87" t="str">
        <v/>
      </c>
      <c r="Q87">
        <v>254787.71484375012</v>
      </c>
      <c r="R87">
        <v>1.1</v>
      </c>
      <c r="S87" t="str">
        <v>design sheet</v>
      </c>
    </row>
    <row r="89">
      <c r="A89" t="str">
        <v>Department of B2B</v>
      </c>
      <c r="B89">
        <v>1</v>
      </c>
      <c r="C89">
        <v>0</v>
      </c>
      <c r="D89" t="str">
        <v/>
      </c>
      <c r="E89">
        <v>0</v>
      </c>
      <c r="F89" t="str">
        <v/>
      </c>
      <c r="G89">
        <v>0</v>
      </c>
      <c r="H89" t="str">
        <v/>
      </c>
      <c r="I89">
        <v>0</v>
      </c>
      <c r="J89" t="str">
        <v/>
      </c>
      <c r="K89">
        <v>0</v>
      </c>
      <c r="L89" t="str">
        <v/>
      </c>
      <c r="M89">
        <v>0</v>
      </c>
      <c r="N89" t="str">
        <v/>
      </c>
      <c r="O89">
        <v>5</v>
      </c>
      <c r="P89" t="str">
        <v/>
      </c>
      <c r="Q89">
        <v>15</v>
      </c>
      <c r="R89" t="str">
        <v/>
      </c>
      <c r="S89" t="str">
        <v>engine template</v>
      </c>
    </row>
    <row r="90">
      <c r="A90" t="str">
        <v/>
      </c>
      <c r="B90">
        <v>2</v>
      </c>
      <c r="C90">
        <v>0.001</v>
      </c>
      <c r="D90" t="str">
        <v/>
      </c>
      <c r="E90">
        <v>0</v>
      </c>
      <c r="F90" t="str">
        <v/>
      </c>
      <c r="G90">
        <v>0</v>
      </c>
      <c r="H90" t="str">
        <v/>
      </c>
      <c r="I90">
        <v>0</v>
      </c>
      <c r="J90" t="str">
        <v/>
      </c>
      <c r="K90">
        <v>0</v>
      </c>
      <c r="L90" t="str">
        <v/>
      </c>
      <c r="M90">
        <v>0</v>
      </c>
      <c r="N90" t="str">
        <v/>
      </c>
      <c r="O90">
        <v>6</v>
      </c>
      <c r="P90" t="str">
        <v/>
      </c>
      <c r="Q90">
        <v>18.75</v>
      </c>
      <c r="R90" t="str">
        <v/>
      </c>
      <c r="S90" t="str">
        <v>engine template</v>
      </c>
    </row>
    <row r="91">
      <c r="A91" t="str">
        <v/>
      </c>
      <c r="B91">
        <v>3</v>
      </c>
      <c r="C91">
        <v>0.0011</v>
      </c>
      <c r="D91" t="str">
        <v/>
      </c>
      <c r="E91">
        <v>0</v>
      </c>
      <c r="F91" t="str">
        <v/>
      </c>
      <c r="G91">
        <v>0</v>
      </c>
      <c r="H91" t="str">
        <v/>
      </c>
      <c r="I91">
        <v>0</v>
      </c>
      <c r="J91" t="str">
        <v/>
      </c>
      <c r="K91">
        <v>0</v>
      </c>
      <c r="L91" t="str">
        <v/>
      </c>
      <c r="M91">
        <v>0</v>
      </c>
      <c r="N91" t="str">
        <v/>
      </c>
      <c r="O91">
        <v>8</v>
      </c>
      <c r="P91" t="str">
        <v/>
      </c>
      <c r="Q91">
        <v>23.44</v>
      </c>
      <c r="R91" t="str">
        <v/>
      </c>
      <c r="S91" t="str">
        <v>engine template</v>
      </c>
    </row>
    <row r="92">
      <c r="A92" t="str">
        <v/>
      </c>
      <c r="B92">
        <v>4</v>
      </c>
      <c r="C92">
        <v>0.0012100000000000001</v>
      </c>
      <c r="D92" t="str">
        <v/>
      </c>
      <c r="E92">
        <v>0</v>
      </c>
      <c r="F92" t="str">
        <v/>
      </c>
      <c r="G92">
        <v>0</v>
      </c>
      <c r="H92" t="str">
        <v/>
      </c>
      <c r="I92">
        <v>0</v>
      </c>
      <c r="J92" t="str">
        <v/>
      </c>
      <c r="K92">
        <v>0</v>
      </c>
      <c r="L92" t="str">
        <v/>
      </c>
      <c r="M92">
        <v>0</v>
      </c>
      <c r="N92" t="str">
        <v/>
      </c>
      <c r="O92">
        <v>10</v>
      </c>
      <c r="P92" t="str">
        <v/>
      </c>
      <c r="Q92">
        <v>29.3</v>
      </c>
      <c r="R92" t="str">
        <v/>
      </c>
      <c r="S92" t="str">
        <v>engine template</v>
      </c>
    </row>
    <row r="93">
      <c r="A93" t="str">
        <v/>
      </c>
      <c r="B93">
        <v>5</v>
      </c>
      <c r="C93">
        <v>0.006050000000000001</v>
      </c>
      <c r="D93" t="str">
        <v/>
      </c>
      <c r="E93">
        <v>0</v>
      </c>
      <c r="F93" t="str">
        <v/>
      </c>
      <c r="G93">
        <v>0</v>
      </c>
      <c r="H93" t="str">
        <v/>
      </c>
      <c r="I93">
        <v>0</v>
      </c>
      <c r="J93" t="str">
        <v/>
      </c>
      <c r="K93">
        <v>0</v>
      </c>
      <c r="L93" t="str">
        <v/>
      </c>
      <c r="M93">
        <v>0</v>
      </c>
      <c r="N93" t="str">
        <v/>
      </c>
      <c r="O93">
        <v>20</v>
      </c>
      <c r="P93" t="str">
        <v/>
      </c>
      <c r="Q93">
        <v>58.59</v>
      </c>
      <c r="R93" t="str">
        <v/>
      </c>
      <c r="S93" t="str">
        <v>engine template</v>
      </c>
    </row>
    <row r="94">
      <c r="A94" t="str">
        <v/>
      </c>
      <c r="B94">
        <v>6</v>
      </c>
      <c r="C94">
        <v>0.00726</v>
      </c>
      <c r="D94" t="str">
        <v/>
      </c>
      <c r="E94">
        <v>0</v>
      </c>
      <c r="F94" t="str">
        <v/>
      </c>
      <c r="G94">
        <v>0</v>
      </c>
      <c r="H94" t="str">
        <v/>
      </c>
      <c r="I94">
        <v>0</v>
      </c>
      <c r="J94" t="str">
        <v/>
      </c>
      <c r="K94">
        <v>0</v>
      </c>
      <c r="L94" t="str">
        <v/>
      </c>
      <c r="M94">
        <v>0</v>
      </c>
      <c r="N94" t="str">
        <v/>
      </c>
      <c r="O94">
        <v>22</v>
      </c>
      <c r="P94" t="str">
        <v/>
      </c>
      <c r="Q94">
        <v>73.24</v>
      </c>
      <c r="R94" t="str">
        <v/>
      </c>
      <c r="S94" t="str">
        <v>engine template</v>
      </c>
    </row>
    <row r="95">
      <c r="A95" t="str">
        <v/>
      </c>
      <c r="B95">
        <v>7</v>
      </c>
      <c r="C95">
        <v>0.008712000000000001</v>
      </c>
      <c r="D95" t="str">
        <v/>
      </c>
      <c r="E95">
        <v>0</v>
      </c>
      <c r="F95" t="str">
        <v/>
      </c>
      <c r="G95">
        <v>0</v>
      </c>
      <c r="H95" t="str">
        <v/>
      </c>
      <c r="I95">
        <v>0</v>
      </c>
      <c r="J95" t="str">
        <v/>
      </c>
      <c r="K95">
        <v>0</v>
      </c>
      <c r="L95" t="str">
        <v/>
      </c>
      <c r="M95">
        <v>0</v>
      </c>
      <c r="N95" t="str">
        <v/>
      </c>
      <c r="O95">
        <v>25</v>
      </c>
      <c r="P95" t="str">
        <v/>
      </c>
      <c r="Q95">
        <v>91.55</v>
      </c>
      <c r="R95" t="str">
        <v/>
      </c>
      <c r="S95" t="str">
        <v>engine template</v>
      </c>
    </row>
    <row r="96">
      <c r="A96" t="str">
        <v/>
      </c>
      <c r="B96">
        <v>8</v>
      </c>
      <c r="C96">
        <v>0.0104544</v>
      </c>
      <c r="D96" t="str">
        <v/>
      </c>
      <c r="E96">
        <v>0</v>
      </c>
      <c r="F96" t="str">
        <v/>
      </c>
      <c r="G96">
        <v>0</v>
      </c>
      <c r="H96" t="str">
        <v/>
      </c>
      <c r="I96">
        <v>0</v>
      </c>
      <c r="J96" t="str">
        <v/>
      </c>
      <c r="K96">
        <v>0</v>
      </c>
      <c r="L96" t="str">
        <v/>
      </c>
      <c r="M96">
        <v>0</v>
      </c>
      <c r="N96" t="str">
        <v/>
      </c>
      <c r="O96">
        <v>28</v>
      </c>
      <c r="P96" t="str">
        <v/>
      </c>
      <c r="Q96">
        <v>114.44</v>
      </c>
      <c r="R96" t="str">
        <v/>
      </c>
      <c r="S96" t="str">
        <v>engine template</v>
      </c>
    </row>
    <row r="97">
      <c r="A97" t="str">
        <v/>
      </c>
      <c r="B97">
        <v>9</v>
      </c>
      <c r="C97">
        <v>0.01254528</v>
      </c>
      <c r="D97" t="str">
        <v/>
      </c>
      <c r="E97">
        <v>0</v>
      </c>
      <c r="F97" t="str">
        <v/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/>
      </c>
      <c r="M97">
        <v>0</v>
      </c>
      <c r="N97" t="str">
        <v/>
      </c>
      <c r="O97">
        <v>31</v>
      </c>
      <c r="P97" t="str">
        <v/>
      </c>
      <c r="Q97">
        <v>143.05</v>
      </c>
      <c r="R97" t="str">
        <v/>
      </c>
      <c r="S97" t="str">
        <v>engine template</v>
      </c>
    </row>
    <row r="98">
      <c r="A98" t="str">
        <v/>
      </c>
      <c r="B98">
        <v>10</v>
      </c>
      <c r="C98">
        <v>0.05018112</v>
      </c>
      <c r="D98" t="str">
        <v/>
      </c>
      <c r="E98">
        <v>0</v>
      </c>
      <c r="F98" t="str">
        <v/>
      </c>
      <c r="G98">
        <v>0</v>
      </c>
      <c r="H98" t="str">
        <v/>
      </c>
      <c r="I98">
        <v>0</v>
      </c>
      <c r="J98" t="str">
        <v/>
      </c>
      <c r="K98">
        <v>0</v>
      </c>
      <c r="L98" t="str">
        <v/>
      </c>
      <c r="M98">
        <v>0</v>
      </c>
      <c r="N98" t="str">
        <v/>
      </c>
      <c r="O98">
        <v>62</v>
      </c>
      <c r="P98" t="str">
        <v/>
      </c>
      <c r="Q98">
        <v>286.1</v>
      </c>
      <c r="R98" t="str">
        <v/>
      </c>
      <c r="S98" t="str">
        <v>engine template</v>
      </c>
    </row>
    <row r="99">
      <c r="A99" t="str">
        <v/>
      </c>
      <c r="B99">
        <v>11</v>
      </c>
      <c r="C99">
        <v>0.060217344</v>
      </c>
      <c r="D99" t="str">
        <v/>
      </c>
      <c r="E99">
        <v>0</v>
      </c>
      <c r="F99" t="str">
        <v/>
      </c>
      <c r="G99">
        <v>0</v>
      </c>
      <c r="H99" t="str">
        <v/>
      </c>
      <c r="I99">
        <v>0</v>
      </c>
      <c r="J99" t="str">
        <v/>
      </c>
      <c r="K99">
        <v>0</v>
      </c>
      <c r="L99" t="str">
        <v/>
      </c>
      <c r="M99">
        <v>0</v>
      </c>
      <c r="N99" t="str">
        <v/>
      </c>
      <c r="O99">
        <v>75</v>
      </c>
      <c r="P99" t="str">
        <v/>
      </c>
      <c r="Q99">
        <v>343.32</v>
      </c>
      <c r="R99" t="str">
        <v/>
      </c>
      <c r="S99" t="str">
        <v>engine template</v>
      </c>
    </row>
    <row r="100">
      <c r="A100" t="str">
        <v/>
      </c>
      <c r="B100">
        <v>12</v>
      </c>
      <c r="C100">
        <v>0.07226081279999999</v>
      </c>
      <c r="D100" t="str">
        <v/>
      </c>
      <c r="E100">
        <v>0</v>
      </c>
      <c r="F100" t="str">
        <v/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0</v>
      </c>
      <c r="N100" t="str">
        <v/>
      </c>
      <c r="O100">
        <v>83</v>
      </c>
      <c r="P100" t="str">
        <v/>
      </c>
      <c r="Q100">
        <v>411.99</v>
      </c>
      <c r="R100" t="str">
        <v/>
      </c>
      <c r="S100" t="str">
        <v>engine template</v>
      </c>
    </row>
    <row r="101">
      <c r="A101" t="str">
        <v/>
      </c>
      <c r="B101">
        <v>13</v>
      </c>
      <c r="C101">
        <v>0.08671297535999999</v>
      </c>
      <c r="D101" t="str">
        <v/>
      </c>
      <c r="E101">
        <v>0</v>
      </c>
      <c r="F101" t="str">
        <v/>
      </c>
      <c r="G101">
        <v>0</v>
      </c>
      <c r="H101" t="str">
        <v/>
      </c>
      <c r="I101">
        <v>0</v>
      </c>
      <c r="J101" t="str">
        <v/>
      </c>
      <c r="K101">
        <v>0</v>
      </c>
      <c r="L101" t="str">
        <v/>
      </c>
      <c r="M101">
        <v>0</v>
      </c>
      <c r="N101" t="str">
        <v/>
      </c>
      <c r="O101">
        <v>92</v>
      </c>
      <c r="P101" t="str">
        <v/>
      </c>
      <c r="Q101">
        <v>494.38</v>
      </c>
      <c r="R101" t="str">
        <v/>
      </c>
      <c r="S101" t="str">
        <v>engine template</v>
      </c>
    </row>
    <row r="102">
      <c r="A102" t="str">
        <v/>
      </c>
      <c r="B102">
        <v>14</v>
      </c>
      <c r="C102">
        <v>0.10405557043199998</v>
      </c>
      <c r="D102" t="str">
        <v/>
      </c>
      <c r="E102">
        <v>0</v>
      </c>
      <c r="F102" t="str">
        <v/>
      </c>
      <c r="G102">
        <v>0</v>
      </c>
      <c r="H102" t="str">
        <v/>
      </c>
      <c r="I102">
        <v>0</v>
      </c>
      <c r="J102" t="str">
        <v/>
      </c>
      <c r="K102">
        <v>0</v>
      </c>
      <c r="L102" t="str">
        <v/>
      </c>
      <c r="M102">
        <v>0</v>
      </c>
      <c r="N102" t="str">
        <v/>
      </c>
      <c r="O102">
        <v>102</v>
      </c>
      <c r="P102" t="str">
        <v/>
      </c>
      <c r="Q102">
        <v>593.26</v>
      </c>
      <c r="R102" t="str">
        <v/>
      </c>
      <c r="S102" t="str">
        <v>engine template</v>
      </c>
    </row>
    <row r="103">
      <c r="A103" t="str">
        <v/>
      </c>
      <c r="B103">
        <v>15</v>
      </c>
      <c r="C103">
        <v>0.26013892607999994</v>
      </c>
      <c r="D103" t="str">
        <v/>
      </c>
      <c r="E103">
        <v>0</v>
      </c>
      <c r="F103" t="str">
        <v/>
      </c>
      <c r="G103">
        <v>0</v>
      </c>
      <c r="H103" t="str">
        <v/>
      </c>
      <c r="I103">
        <v>0</v>
      </c>
      <c r="J103" t="str">
        <v/>
      </c>
      <c r="K103">
        <v>0</v>
      </c>
      <c r="L103" t="str">
        <v/>
      </c>
      <c r="M103">
        <v>0</v>
      </c>
      <c r="N103" t="str">
        <v/>
      </c>
      <c r="O103">
        <v>204</v>
      </c>
      <c r="P103" t="str">
        <v/>
      </c>
      <c r="Q103">
        <v>1186.52</v>
      </c>
      <c r="R103" t="str">
        <v/>
      </c>
      <c r="S103" t="str">
        <v>engine template</v>
      </c>
    </row>
    <row r="104">
      <c r="A104" t="str">
        <v/>
      </c>
      <c r="B104">
        <v>16</v>
      </c>
      <c r="C104">
        <v>0.31216671129599993</v>
      </c>
      <c r="D104" t="str">
        <v/>
      </c>
      <c r="E104">
        <v>0</v>
      </c>
      <c r="F104" t="str">
        <v/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/>
      </c>
      <c r="M104">
        <v>0</v>
      </c>
      <c r="N104" t="str">
        <v/>
      </c>
      <c r="O104">
        <v>225</v>
      </c>
      <c r="P104" t="str">
        <v/>
      </c>
      <c r="Q104">
        <v>1305.18</v>
      </c>
      <c r="R104" t="str">
        <v/>
      </c>
      <c r="S104" t="str">
        <v>engine template</v>
      </c>
    </row>
    <row r="105">
      <c r="A105" t="str">
        <v/>
      </c>
      <c r="B105">
        <v>17</v>
      </c>
      <c r="C105">
        <v>0.37460005355519993</v>
      </c>
      <c r="D105" t="str">
        <v/>
      </c>
      <c r="E105">
        <v>0</v>
      </c>
      <c r="F105" t="str">
        <v/>
      </c>
      <c r="G105">
        <v>0</v>
      </c>
      <c r="H105" t="str">
        <v/>
      </c>
      <c r="I105">
        <v>0</v>
      </c>
      <c r="J105" t="str">
        <v/>
      </c>
      <c r="K105">
        <v>0</v>
      </c>
      <c r="L105" t="str">
        <v/>
      </c>
      <c r="M105">
        <v>0</v>
      </c>
      <c r="N105" t="str">
        <v/>
      </c>
      <c r="O105">
        <v>248</v>
      </c>
      <c r="P105" t="str">
        <v/>
      </c>
      <c r="Q105">
        <v>1435.69</v>
      </c>
      <c r="R105" t="str">
        <v/>
      </c>
      <c r="S105" t="str">
        <v>engine template</v>
      </c>
    </row>
    <row r="106">
      <c r="A106" t="str">
        <v/>
      </c>
      <c r="B106">
        <v>18</v>
      </c>
      <c r="C106">
        <v>0.44952006426623986</v>
      </c>
      <c r="D106" t="str">
        <v/>
      </c>
      <c r="E106">
        <v>0</v>
      </c>
      <c r="F106" t="str">
        <v/>
      </c>
      <c r="G106">
        <v>0</v>
      </c>
      <c r="H106" t="str">
        <v/>
      </c>
      <c r="I106">
        <v>0</v>
      </c>
      <c r="J106" t="str">
        <v/>
      </c>
      <c r="K106">
        <v>0</v>
      </c>
      <c r="L106" t="str">
        <v/>
      </c>
      <c r="M106">
        <v>0</v>
      </c>
      <c r="N106" t="str">
        <v/>
      </c>
      <c r="O106">
        <v>273</v>
      </c>
      <c r="P106" t="str">
        <v/>
      </c>
      <c r="Q106">
        <v>1579.26</v>
      </c>
      <c r="R106" t="str">
        <v/>
      </c>
      <c r="S106" t="str">
        <v>engine template</v>
      </c>
    </row>
    <row r="107">
      <c r="A107" t="str">
        <v/>
      </c>
      <c r="B107">
        <v>19</v>
      </c>
      <c r="C107">
        <v>0.5394240771194879</v>
      </c>
      <c r="D107" t="str">
        <v/>
      </c>
      <c r="E107">
        <v>0</v>
      </c>
      <c r="F107" t="str">
        <v/>
      </c>
      <c r="G107">
        <v>0</v>
      </c>
      <c r="H107" t="str">
        <v/>
      </c>
      <c r="I107">
        <v>0</v>
      </c>
      <c r="J107" t="str">
        <v/>
      </c>
      <c r="K107">
        <v>0</v>
      </c>
      <c r="L107" t="str">
        <v/>
      </c>
      <c r="M107">
        <v>0</v>
      </c>
      <c r="N107" t="str">
        <v/>
      </c>
      <c r="O107">
        <v>301</v>
      </c>
      <c r="P107" t="str">
        <v/>
      </c>
      <c r="Q107">
        <v>1737.19</v>
      </c>
      <c r="R107" t="str">
        <v/>
      </c>
      <c r="S107" t="str">
        <v>engine template</v>
      </c>
    </row>
    <row r="108">
      <c r="A108" t="str">
        <v/>
      </c>
      <c r="B108">
        <v>20</v>
      </c>
      <c r="C108">
        <v>1.0788481542389758</v>
      </c>
      <c r="D108" t="str">
        <v/>
      </c>
      <c r="E108">
        <v>0</v>
      </c>
      <c r="F108" t="str">
        <v/>
      </c>
      <c r="G108">
        <v>0</v>
      </c>
      <c r="H108" t="str">
        <v/>
      </c>
      <c r="I108">
        <v>0</v>
      </c>
      <c r="J108" t="str">
        <v/>
      </c>
      <c r="K108">
        <v>0</v>
      </c>
      <c r="L108" t="str">
        <v/>
      </c>
      <c r="M108">
        <v>0</v>
      </c>
      <c r="N108" t="str">
        <v/>
      </c>
      <c r="O108">
        <v>602</v>
      </c>
      <c r="P108" t="str">
        <v/>
      </c>
      <c r="Q108">
        <v>1910.91</v>
      </c>
      <c r="R108" t="str">
        <v/>
      </c>
      <c r="S108" t="str">
        <v>engine template</v>
      </c>
    </row>
    <row r="110">
      <c r="A110" t="str">
        <v>Break room</v>
      </c>
      <c r="B110">
        <v>1</v>
      </c>
      <c r="C110">
        <v>0</v>
      </c>
      <c r="D110" t="str">
        <v/>
      </c>
      <c r="E110">
        <v>0</v>
      </c>
      <c r="F110" t="str">
        <v/>
      </c>
      <c r="G110">
        <v>0</v>
      </c>
      <c r="H110" t="str">
        <v/>
      </c>
      <c r="I110">
        <v>0</v>
      </c>
      <c r="J110" t="str">
        <v/>
      </c>
      <c r="K110">
        <v>0</v>
      </c>
      <c r="L110" t="str">
        <v/>
      </c>
      <c r="M110">
        <v>0</v>
      </c>
      <c r="N110" t="str">
        <v/>
      </c>
      <c r="O110">
        <v>2</v>
      </c>
      <c r="P110" t="str">
        <v/>
      </c>
      <c r="Q110">
        <v>25</v>
      </c>
      <c r="R110" t="str">
        <v/>
      </c>
      <c r="S110" t="str">
        <v>engine template</v>
      </c>
    </row>
    <row r="111">
      <c r="A111" t="str">
        <v/>
      </c>
      <c r="B111">
        <v>2</v>
      </c>
      <c r="C111">
        <v>0.001</v>
      </c>
      <c r="D111" t="str">
        <v/>
      </c>
      <c r="E111">
        <v>0</v>
      </c>
      <c r="F111" t="str">
        <v/>
      </c>
      <c r="G111">
        <v>0</v>
      </c>
      <c r="H111" t="str">
        <v/>
      </c>
      <c r="I111">
        <v>0</v>
      </c>
      <c r="J111" t="str">
        <v/>
      </c>
      <c r="K111">
        <v>0</v>
      </c>
      <c r="L111" t="str">
        <v/>
      </c>
      <c r="M111">
        <v>0</v>
      </c>
      <c r="N111" t="str">
        <v/>
      </c>
      <c r="O111">
        <v>3</v>
      </c>
      <c r="P111" t="str">
        <v/>
      </c>
      <c r="Q111">
        <v>31.25</v>
      </c>
      <c r="R111" t="str">
        <v/>
      </c>
      <c r="S111" t="str">
        <v>engine template</v>
      </c>
    </row>
    <row r="112">
      <c r="A112" t="str">
        <v/>
      </c>
      <c r="B112">
        <v>3</v>
      </c>
      <c r="C112">
        <v>0.002</v>
      </c>
      <c r="D112" t="str">
        <v/>
      </c>
      <c r="E112">
        <v>0</v>
      </c>
      <c r="F112" t="str">
        <v/>
      </c>
      <c r="G112">
        <v>0</v>
      </c>
      <c r="H112" t="str">
        <v/>
      </c>
      <c r="I112">
        <v>0</v>
      </c>
      <c r="J112" t="str">
        <v/>
      </c>
      <c r="K112">
        <v>0</v>
      </c>
      <c r="L112" t="str">
        <v/>
      </c>
      <c r="M112">
        <v>0</v>
      </c>
      <c r="N112" t="str">
        <v/>
      </c>
      <c r="O112">
        <v>4</v>
      </c>
      <c r="P112" t="str">
        <v/>
      </c>
      <c r="Q112">
        <v>39.06</v>
      </c>
      <c r="R112" t="str">
        <v/>
      </c>
      <c r="S112" t="str">
        <v>engine template</v>
      </c>
    </row>
    <row r="113">
      <c r="A113" t="str">
        <v/>
      </c>
      <c r="B113">
        <v>4</v>
      </c>
      <c r="C113">
        <v>0.004</v>
      </c>
      <c r="D113" t="str">
        <v/>
      </c>
      <c r="E113">
        <v>0</v>
      </c>
      <c r="F113" t="str">
        <v/>
      </c>
      <c r="G113">
        <v>0</v>
      </c>
      <c r="H113" t="str">
        <v/>
      </c>
      <c r="I113">
        <v>0</v>
      </c>
      <c r="J113" t="str">
        <v/>
      </c>
      <c r="K113">
        <v>0</v>
      </c>
      <c r="L113" t="str">
        <v/>
      </c>
      <c r="M113">
        <v>0</v>
      </c>
      <c r="N113" t="str">
        <v/>
      </c>
      <c r="O113">
        <v>5</v>
      </c>
      <c r="P113" t="str">
        <v/>
      </c>
      <c r="Q113">
        <v>48.83</v>
      </c>
      <c r="R113" t="str">
        <v/>
      </c>
      <c r="S113" t="str">
        <v>engine template</v>
      </c>
    </row>
    <row r="114">
      <c r="A114" t="str">
        <v/>
      </c>
      <c r="B114">
        <v>5</v>
      </c>
      <c r="C114">
        <v>0.02</v>
      </c>
      <c r="D114" t="str">
        <v/>
      </c>
      <c r="E114">
        <v>0</v>
      </c>
      <c r="F114" t="str">
        <v/>
      </c>
      <c r="G114">
        <v>0</v>
      </c>
      <c r="H114" t="str">
        <v/>
      </c>
      <c r="I114">
        <v>0</v>
      </c>
      <c r="J114" t="str">
        <v/>
      </c>
      <c r="K114">
        <v>0</v>
      </c>
      <c r="L114" t="str">
        <v/>
      </c>
      <c r="M114">
        <v>0</v>
      </c>
      <c r="N114" t="str">
        <v/>
      </c>
      <c r="O114">
        <v>10</v>
      </c>
      <c r="P114" t="str">
        <v/>
      </c>
      <c r="Q114">
        <v>97.66</v>
      </c>
      <c r="R114" t="str">
        <v/>
      </c>
      <c r="S114" t="str">
        <v>engine template</v>
      </c>
    </row>
    <row r="115">
      <c r="A115" t="str">
        <v/>
      </c>
      <c r="B115">
        <v>6</v>
      </c>
      <c r="C115">
        <v>0.024000000000000004</v>
      </c>
      <c r="D115" t="str">
        <v/>
      </c>
      <c r="E115">
        <v>0</v>
      </c>
      <c r="F115" t="str">
        <v/>
      </c>
      <c r="G115">
        <v>0</v>
      </c>
      <c r="H115" t="str">
        <v/>
      </c>
      <c r="I115">
        <v>0</v>
      </c>
      <c r="J115" t="str">
        <v/>
      </c>
      <c r="K115">
        <v>0</v>
      </c>
      <c r="L115" t="str">
        <v/>
      </c>
      <c r="M115">
        <v>0</v>
      </c>
      <c r="N115" t="str">
        <v/>
      </c>
      <c r="O115">
        <v>13</v>
      </c>
      <c r="P115" t="str">
        <v/>
      </c>
      <c r="Q115">
        <v>122.07</v>
      </c>
      <c r="R115" t="str">
        <v/>
      </c>
      <c r="S115" t="str">
        <v>engine template</v>
      </c>
    </row>
    <row r="116">
      <c r="A116" t="str">
        <v/>
      </c>
      <c r="B116">
        <v>7</v>
      </c>
      <c r="C116">
        <v>0.028800000000000003</v>
      </c>
      <c r="D116" t="str">
        <v/>
      </c>
      <c r="E116">
        <v>0</v>
      </c>
      <c r="F116" t="str">
        <v/>
      </c>
      <c r="G116">
        <v>0</v>
      </c>
      <c r="H116" t="str">
        <v/>
      </c>
      <c r="I116">
        <v>0</v>
      </c>
      <c r="J116" t="str">
        <v/>
      </c>
      <c r="K116">
        <v>0</v>
      </c>
      <c r="L116" t="str">
        <v/>
      </c>
      <c r="M116">
        <v>0</v>
      </c>
      <c r="N116" t="str">
        <v/>
      </c>
      <c r="O116">
        <v>17</v>
      </c>
      <c r="P116" t="str">
        <v/>
      </c>
      <c r="Q116">
        <v>152.59</v>
      </c>
      <c r="R116" t="str">
        <v/>
      </c>
      <c r="S116" t="str">
        <v>engine template</v>
      </c>
    </row>
    <row r="117">
      <c r="A117" t="str">
        <v/>
      </c>
      <c r="B117">
        <v>8</v>
      </c>
      <c r="C117">
        <v>0.03456</v>
      </c>
      <c r="D117" t="str">
        <v/>
      </c>
      <c r="E117">
        <v>0</v>
      </c>
      <c r="F117" t="str">
        <v/>
      </c>
      <c r="G117">
        <v>0</v>
      </c>
      <c r="H117" t="str">
        <v/>
      </c>
      <c r="I117">
        <v>0</v>
      </c>
      <c r="J117" t="str">
        <v/>
      </c>
      <c r="K117">
        <v>0</v>
      </c>
      <c r="L117" t="str">
        <v/>
      </c>
      <c r="M117">
        <v>0</v>
      </c>
      <c r="N117" t="str">
        <v/>
      </c>
      <c r="O117">
        <v>22</v>
      </c>
      <c r="P117" t="str">
        <v/>
      </c>
      <c r="Q117">
        <v>190.73</v>
      </c>
      <c r="R117" t="str">
        <v/>
      </c>
      <c r="S117" t="str">
        <v>engine template</v>
      </c>
    </row>
    <row r="118">
      <c r="A118" t="str">
        <v/>
      </c>
      <c r="B118">
        <v>9</v>
      </c>
      <c r="C118">
        <v>0.041472</v>
      </c>
      <c r="D118" t="str">
        <v/>
      </c>
      <c r="E118">
        <v>0</v>
      </c>
      <c r="F118" t="str">
        <v/>
      </c>
      <c r="G118">
        <v>0</v>
      </c>
      <c r="H118" t="str">
        <v/>
      </c>
      <c r="I118">
        <v>0</v>
      </c>
      <c r="J118" t="str">
        <v/>
      </c>
      <c r="K118">
        <v>0</v>
      </c>
      <c r="L118" t="str">
        <v/>
      </c>
      <c r="M118">
        <v>0</v>
      </c>
      <c r="N118" t="str">
        <v/>
      </c>
      <c r="O118">
        <v>28</v>
      </c>
      <c r="P118" t="str">
        <v/>
      </c>
      <c r="Q118">
        <v>238.42</v>
      </c>
      <c r="R118" t="str">
        <v/>
      </c>
      <c r="S118" t="str">
        <v>engine template</v>
      </c>
    </row>
    <row r="119">
      <c r="A119" t="str">
        <v/>
      </c>
      <c r="B119">
        <v>10</v>
      </c>
      <c r="C119">
        <v>0.165888</v>
      </c>
      <c r="D119" t="str">
        <v/>
      </c>
      <c r="E119">
        <v>0</v>
      </c>
      <c r="F119" t="str">
        <v/>
      </c>
      <c r="G119">
        <v>0</v>
      </c>
      <c r="H119" t="str">
        <v/>
      </c>
      <c r="I119">
        <v>0</v>
      </c>
      <c r="J119" t="str">
        <v/>
      </c>
      <c r="K119">
        <v>0</v>
      </c>
      <c r="L119" t="str">
        <v/>
      </c>
      <c r="M119">
        <v>0</v>
      </c>
      <c r="N119" t="str">
        <v/>
      </c>
      <c r="O119">
        <v>56</v>
      </c>
      <c r="P119" t="str">
        <v/>
      </c>
      <c r="Q119">
        <v>476.84</v>
      </c>
      <c r="R119" t="str">
        <v/>
      </c>
      <c r="S119" t="str">
        <v>engine template</v>
      </c>
    </row>
    <row r="120">
      <c r="A120" t="str">
        <v/>
      </c>
      <c r="B120">
        <v>11</v>
      </c>
      <c r="C120">
        <v>0.19906560000000004</v>
      </c>
      <c r="D120" t="str">
        <v/>
      </c>
      <c r="E120">
        <v>0</v>
      </c>
      <c r="F120" t="str">
        <v/>
      </c>
      <c r="G120">
        <v>0</v>
      </c>
      <c r="H120" t="str">
        <v/>
      </c>
      <c r="I120">
        <v>0</v>
      </c>
      <c r="J120" t="str">
        <v/>
      </c>
      <c r="K120">
        <v>0</v>
      </c>
      <c r="L120" t="str">
        <v/>
      </c>
      <c r="M120">
        <v>0</v>
      </c>
      <c r="N120" t="str">
        <v/>
      </c>
      <c r="O120">
        <v>59</v>
      </c>
      <c r="P120" t="str">
        <v/>
      </c>
      <c r="Q120">
        <v>572.2</v>
      </c>
      <c r="R120" t="str">
        <v/>
      </c>
      <c r="S120" t="str">
        <v>engine template</v>
      </c>
    </row>
    <row r="121">
      <c r="A121" t="str">
        <v/>
      </c>
      <c r="B121">
        <v>12</v>
      </c>
      <c r="C121">
        <v>0.23887872</v>
      </c>
      <c r="D121" t="str">
        <v/>
      </c>
      <c r="E121">
        <v>0</v>
      </c>
      <c r="F121" t="str">
        <v/>
      </c>
      <c r="G121">
        <v>0</v>
      </c>
      <c r="H121" t="str">
        <v/>
      </c>
      <c r="I121">
        <v>0</v>
      </c>
      <c r="J121" t="str">
        <v/>
      </c>
      <c r="K121">
        <v>0</v>
      </c>
      <c r="L121" t="str">
        <v/>
      </c>
      <c r="M121">
        <v>0</v>
      </c>
      <c r="N121" t="str">
        <v/>
      </c>
      <c r="O121">
        <v>62</v>
      </c>
      <c r="P121" t="str">
        <v/>
      </c>
      <c r="Q121">
        <v>686.65</v>
      </c>
      <c r="R121" t="str">
        <v/>
      </c>
      <c r="S121" t="str">
        <v>engine template</v>
      </c>
    </row>
    <row r="122">
      <c r="A122" t="str">
        <v/>
      </c>
      <c r="B122">
        <v>13</v>
      </c>
      <c r="C122">
        <v>0.286654464</v>
      </c>
      <c r="D122" t="str">
        <v/>
      </c>
      <c r="E122">
        <v>0</v>
      </c>
      <c r="F122" t="str">
        <v/>
      </c>
      <c r="G122">
        <v>0</v>
      </c>
      <c r="H122" t="str">
        <v/>
      </c>
      <c r="I122">
        <v>0</v>
      </c>
      <c r="J122" t="str">
        <v/>
      </c>
      <c r="K122">
        <v>0</v>
      </c>
      <c r="L122" t="str">
        <v/>
      </c>
      <c r="M122">
        <v>0</v>
      </c>
      <c r="N122" t="str">
        <v/>
      </c>
      <c r="O122">
        <v>66</v>
      </c>
      <c r="P122" t="str">
        <v/>
      </c>
      <c r="Q122">
        <v>823.97</v>
      </c>
      <c r="R122" t="str">
        <v/>
      </c>
      <c r="S122" t="str">
        <v>engine template</v>
      </c>
    </row>
    <row r="123">
      <c r="A123" t="str">
        <v/>
      </c>
      <c r="B123">
        <v>14</v>
      </c>
      <c r="C123">
        <v>0.3439853568</v>
      </c>
      <c r="D123" t="str">
        <v/>
      </c>
      <c r="E123">
        <v>0</v>
      </c>
      <c r="F123" t="str">
        <v/>
      </c>
      <c r="G123">
        <v>0</v>
      </c>
      <c r="H123" t="str">
        <v/>
      </c>
      <c r="I123">
        <v>0</v>
      </c>
      <c r="J123" t="str">
        <v/>
      </c>
      <c r="K123">
        <v>0</v>
      </c>
      <c r="L123" t="str">
        <v/>
      </c>
      <c r="M123">
        <v>0</v>
      </c>
      <c r="N123" t="str">
        <v/>
      </c>
      <c r="O123">
        <v>70</v>
      </c>
      <c r="P123" t="str">
        <v/>
      </c>
      <c r="Q123">
        <v>988.77</v>
      </c>
      <c r="R123" t="str">
        <v/>
      </c>
      <c r="S123" t="str">
        <v>engine template</v>
      </c>
    </row>
    <row r="124">
      <c r="A124" t="str">
        <v/>
      </c>
      <c r="B124">
        <v>15</v>
      </c>
      <c r="C124">
        <v>0.8599633919999999</v>
      </c>
      <c r="D124" t="str">
        <v/>
      </c>
      <c r="E124">
        <v>0</v>
      </c>
      <c r="F124" t="str">
        <v/>
      </c>
      <c r="G124">
        <v>0</v>
      </c>
      <c r="H124" t="str">
        <v/>
      </c>
      <c r="I124">
        <v>0</v>
      </c>
      <c r="J124" t="str">
        <v/>
      </c>
      <c r="K124">
        <v>0</v>
      </c>
      <c r="L124" t="str">
        <v/>
      </c>
      <c r="M124">
        <v>0</v>
      </c>
      <c r="N124" t="str">
        <v/>
      </c>
      <c r="O124">
        <v>140</v>
      </c>
      <c r="P124" t="str">
        <v/>
      </c>
      <c r="Q124">
        <v>1977.54</v>
      </c>
      <c r="R124" t="str">
        <v/>
      </c>
      <c r="S124" t="str">
        <v>engine template</v>
      </c>
    </row>
    <row r="125">
      <c r="A125" t="str">
        <v/>
      </c>
      <c r="B125">
        <v>16</v>
      </c>
      <c r="C125">
        <v>1.0319560704</v>
      </c>
      <c r="D125" t="str">
        <v/>
      </c>
      <c r="E125">
        <v>0</v>
      </c>
      <c r="F125" t="str">
        <v/>
      </c>
      <c r="G125">
        <v>0</v>
      </c>
      <c r="H125" t="str">
        <v/>
      </c>
      <c r="I125">
        <v>0</v>
      </c>
      <c r="J125" t="str">
        <v/>
      </c>
      <c r="K125">
        <v>0</v>
      </c>
      <c r="L125" t="str">
        <v/>
      </c>
      <c r="M125">
        <v>0</v>
      </c>
      <c r="N125" t="str">
        <v/>
      </c>
      <c r="O125">
        <v>147</v>
      </c>
      <c r="P125" t="str">
        <v/>
      </c>
      <c r="Q125">
        <v>2175.29</v>
      </c>
      <c r="R125" t="str">
        <v/>
      </c>
      <c r="S125" t="str">
        <v>engine template</v>
      </c>
    </row>
    <row r="126">
      <c r="A126" t="str">
        <v/>
      </c>
      <c r="B126">
        <v>17</v>
      </c>
      <c r="C126">
        <v>1.2383472844799999</v>
      </c>
      <c r="D126" t="str">
        <v/>
      </c>
      <c r="E126">
        <v>0</v>
      </c>
      <c r="F126" t="str">
        <v/>
      </c>
      <c r="G126">
        <v>0</v>
      </c>
      <c r="H126" t="str">
        <v/>
      </c>
      <c r="I126">
        <v>0</v>
      </c>
      <c r="J126" t="str">
        <v/>
      </c>
      <c r="K126">
        <v>0</v>
      </c>
      <c r="L126" t="str">
        <v/>
      </c>
      <c r="M126">
        <v>0</v>
      </c>
      <c r="N126" t="str">
        <v/>
      </c>
      <c r="O126">
        <v>155</v>
      </c>
      <c r="P126" t="str">
        <v/>
      </c>
      <c r="Q126">
        <v>2392.82</v>
      </c>
      <c r="R126" t="str">
        <v/>
      </c>
      <c r="S126" t="str">
        <v>engine template</v>
      </c>
    </row>
    <row r="127">
      <c r="A127" t="str">
        <v/>
      </c>
      <c r="B127">
        <v>18</v>
      </c>
      <c r="C127">
        <v>1.4860167413759997</v>
      </c>
      <c r="D127" t="str">
        <v/>
      </c>
      <c r="E127">
        <v>0</v>
      </c>
      <c r="F127" t="str">
        <v/>
      </c>
      <c r="G127">
        <v>0</v>
      </c>
      <c r="H127" t="str">
        <v/>
      </c>
      <c r="I127">
        <v>0</v>
      </c>
      <c r="J127" t="str">
        <v/>
      </c>
      <c r="K127">
        <v>0</v>
      </c>
      <c r="L127" t="str">
        <v/>
      </c>
      <c r="M127">
        <v>0</v>
      </c>
      <c r="N127" t="str">
        <v/>
      </c>
      <c r="O127">
        <v>163</v>
      </c>
      <c r="P127" t="str">
        <v/>
      </c>
      <c r="Q127">
        <v>2632.1</v>
      </c>
      <c r="R127" t="str">
        <v/>
      </c>
      <c r="S127" t="str">
        <v>engine template</v>
      </c>
    </row>
    <row r="128">
      <c r="A128" t="str">
        <v/>
      </c>
      <c r="B128">
        <v>19</v>
      </c>
      <c r="C128">
        <v>1.7832200896511996</v>
      </c>
      <c r="D128" t="str">
        <v/>
      </c>
      <c r="E128">
        <v>0</v>
      </c>
      <c r="F128" t="str">
        <v/>
      </c>
      <c r="G128">
        <v>0</v>
      </c>
      <c r="H128" t="str">
        <v/>
      </c>
      <c r="I128">
        <v>0</v>
      </c>
      <c r="J128" t="str">
        <v/>
      </c>
      <c r="K128">
        <v>0</v>
      </c>
      <c r="L128" t="str">
        <v/>
      </c>
      <c r="M128">
        <v>0</v>
      </c>
      <c r="N128" t="str">
        <v/>
      </c>
      <c r="O128">
        <v>172</v>
      </c>
      <c r="P128" t="str">
        <v/>
      </c>
      <c r="Q128">
        <v>2895.31</v>
      </c>
      <c r="R128" t="str">
        <v/>
      </c>
      <c r="S128" t="str">
        <v>engine template</v>
      </c>
    </row>
    <row r="129">
      <c r="A129" t="str">
        <v/>
      </c>
      <c r="B129">
        <v>20</v>
      </c>
      <c r="C129">
        <v>3.566440179302399</v>
      </c>
      <c r="D129" t="str">
        <v/>
      </c>
      <c r="E129">
        <v>0</v>
      </c>
      <c r="F129" t="str">
        <v/>
      </c>
      <c r="G129">
        <v>0</v>
      </c>
      <c r="H129" t="str">
        <v/>
      </c>
      <c r="I129">
        <v>0</v>
      </c>
      <c r="J129" t="str">
        <v/>
      </c>
      <c r="K129">
        <v>0</v>
      </c>
      <c r="L129" t="str">
        <v/>
      </c>
      <c r="M129">
        <v>0</v>
      </c>
      <c r="N129" t="str">
        <v/>
      </c>
      <c r="O129">
        <v>190</v>
      </c>
      <c r="P129" t="str">
        <v/>
      </c>
      <c r="Q129">
        <v>3184.85</v>
      </c>
      <c r="R129" t="str">
        <v/>
      </c>
      <c r="S129" t="str">
        <v>engine template</v>
      </c>
    </row>
    <row r="131">
      <c r="A131" t="str">
        <v>Social Media</v>
      </c>
      <c r="B131">
        <v>1</v>
      </c>
      <c r="C131">
        <v>0</v>
      </c>
      <c r="D131" t="str">
        <v/>
      </c>
      <c r="E131">
        <v>0</v>
      </c>
      <c r="F131" t="str">
        <v/>
      </c>
      <c r="G131">
        <v>0</v>
      </c>
      <c r="H131" t="str">
        <v/>
      </c>
      <c r="I131">
        <v>0</v>
      </c>
      <c r="J131" t="str">
        <v/>
      </c>
      <c r="K131">
        <v>0</v>
      </c>
      <c r="L131" t="str">
        <v/>
      </c>
      <c r="M131">
        <v>0</v>
      </c>
      <c r="N131" t="str">
        <v/>
      </c>
      <c r="O131">
        <v>2</v>
      </c>
      <c r="P131" t="str">
        <v/>
      </c>
      <c r="Q131">
        <v>8</v>
      </c>
      <c r="R131" t="str">
        <v/>
      </c>
      <c r="S131" t="str">
        <v>engine template</v>
      </c>
    </row>
    <row r="132">
      <c r="A132" t="str">
        <v/>
      </c>
      <c r="B132">
        <v>2</v>
      </c>
      <c r="C132">
        <v>0.001</v>
      </c>
      <c r="D132" t="str">
        <v/>
      </c>
      <c r="E132">
        <v>0</v>
      </c>
      <c r="F132" t="str">
        <v/>
      </c>
      <c r="G132">
        <v>0</v>
      </c>
      <c r="H132" t="str">
        <v/>
      </c>
      <c r="I132">
        <v>0</v>
      </c>
      <c r="J132" t="str">
        <v/>
      </c>
      <c r="K132">
        <v>0</v>
      </c>
      <c r="L132" t="str">
        <v/>
      </c>
      <c r="M132">
        <v>0</v>
      </c>
      <c r="N132" t="str">
        <v/>
      </c>
      <c r="O132">
        <v>3</v>
      </c>
      <c r="P132" t="str">
        <v/>
      </c>
      <c r="Q132">
        <v>10</v>
      </c>
      <c r="R132" t="str">
        <v/>
      </c>
      <c r="S132" t="str">
        <v>engine template</v>
      </c>
    </row>
    <row r="133">
      <c r="A133" t="str">
        <v/>
      </c>
      <c r="B133">
        <v>3</v>
      </c>
      <c r="C133">
        <v>0.002</v>
      </c>
      <c r="D133" t="str">
        <v/>
      </c>
      <c r="E133">
        <v>0</v>
      </c>
      <c r="F133" t="str">
        <v/>
      </c>
      <c r="G133">
        <v>0</v>
      </c>
      <c r="H133" t="str">
        <v/>
      </c>
      <c r="I133">
        <v>0</v>
      </c>
      <c r="J133" t="str">
        <v/>
      </c>
      <c r="K133">
        <v>0</v>
      </c>
      <c r="L133" t="str">
        <v/>
      </c>
      <c r="M133">
        <v>0</v>
      </c>
      <c r="N133" t="str">
        <v/>
      </c>
      <c r="O133">
        <v>4</v>
      </c>
      <c r="P133" t="str">
        <v/>
      </c>
      <c r="Q133">
        <v>12.5</v>
      </c>
      <c r="R133" t="str">
        <v/>
      </c>
      <c r="S133" t="str">
        <v>engine template</v>
      </c>
    </row>
    <row r="134">
      <c r="A134" t="str">
        <v/>
      </c>
      <c r="B134">
        <v>4</v>
      </c>
      <c r="C134">
        <v>0.004</v>
      </c>
      <c r="D134" t="str">
        <v/>
      </c>
      <c r="E134">
        <v>0</v>
      </c>
      <c r="F134" t="str">
        <v/>
      </c>
      <c r="G134">
        <v>0</v>
      </c>
      <c r="H134" t="str">
        <v/>
      </c>
      <c r="I134">
        <v>0</v>
      </c>
      <c r="J134" t="str">
        <v/>
      </c>
      <c r="K134">
        <v>0</v>
      </c>
      <c r="L134" t="str">
        <v/>
      </c>
      <c r="M134">
        <v>0</v>
      </c>
      <c r="N134" t="str">
        <v/>
      </c>
      <c r="O134">
        <v>5</v>
      </c>
      <c r="P134" t="str">
        <v/>
      </c>
      <c r="Q134">
        <v>15.63</v>
      </c>
      <c r="R134" t="str">
        <v/>
      </c>
      <c r="S134" t="str">
        <v>engine template</v>
      </c>
    </row>
    <row r="135">
      <c r="A135" t="str">
        <v/>
      </c>
      <c r="B135">
        <v>5</v>
      </c>
      <c r="C135">
        <v>0.02</v>
      </c>
      <c r="D135" t="str">
        <v/>
      </c>
      <c r="E135">
        <v>0</v>
      </c>
      <c r="F135" t="str">
        <v/>
      </c>
      <c r="G135">
        <v>0</v>
      </c>
      <c r="H135" t="str">
        <v/>
      </c>
      <c r="I135">
        <v>0</v>
      </c>
      <c r="J135" t="str">
        <v/>
      </c>
      <c r="K135">
        <v>0</v>
      </c>
      <c r="L135" t="str">
        <v/>
      </c>
      <c r="M135">
        <v>0</v>
      </c>
      <c r="N135" t="str">
        <v/>
      </c>
      <c r="O135">
        <v>10</v>
      </c>
      <c r="P135" t="str">
        <v/>
      </c>
      <c r="Q135">
        <v>31.25</v>
      </c>
      <c r="R135" t="str">
        <v/>
      </c>
      <c r="S135" t="str">
        <v>engine template</v>
      </c>
    </row>
    <row r="136">
      <c r="A136" t="str">
        <v/>
      </c>
      <c r="B136">
        <v>6</v>
      </c>
      <c r="C136">
        <v>0.024000000000000004</v>
      </c>
      <c r="D136" t="str">
        <v/>
      </c>
      <c r="E136">
        <v>0</v>
      </c>
      <c r="F136" t="str">
        <v/>
      </c>
      <c r="G136">
        <v>0</v>
      </c>
      <c r="H136" t="str">
        <v/>
      </c>
      <c r="I136">
        <v>0</v>
      </c>
      <c r="J136" t="str">
        <v/>
      </c>
      <c r="K136">
        <v>0</v>
      </c>
      <c r="L136" t="str">
        <v/>
      </c>
      <c r="M136">
        <v>0</v>
      </c>
      <c r="N136" t="str">
        <v/>
      </c>
      <c r="O136">
        <v>13</v>
      </c>
      <c r="P136" t="str">
        <v/>
      </c>
      <c r="Q136">
        <v>39.06</v>
      </c>
      <c r="R136" t="str">
        <v/>
      </c>
      <c r="S136" t="str">
        <v>engine template</v>
      </c>
    </row>
    <row r="137">
      <c r="A137" t="str">
        <v/>
      </c>
      <c r="B137">
        <v>7</v>
      </c>
      <c r="C137">
        <v>0.028800000000000003</v>
      </c>
      <c r="D137" t="str">
        <v/>
      </c>
      <c r="E137">
        <v>0</v>
      </c>
      <c r="F137" t="str">
        <v/>
      </c>
      <c r="G137">
        <v>0</v>
      </c>
      <c r="H137" t="str">
        <v/>
      </c>
      <c r="I137">
        <v>0</v>
      </c>
      <c r="J137" t="str">
        <v/>
      </c>
      <c r="K137">
        <v>0</v>
      </c>
      <c r="L137" t="str">
        <v/>
      </c>
      <c r="M137">
        <v>0</v>
      </c>
      <c r="N137" t="str">
        <v/>
      </c>
      <c r="O137">
        <v>17</v>
      </c>
      <c r="P137" t="str">
        <v/>
      </c>
      <c r="Q137">
        <v>48.83</v>
      </c>
      <c r="R137" t="str">
        <v/>
      </c>
      <c r="S137" t="str">
        <v>engine template</v>
      </c>
    </row>
    <row r="138">
      <c r="A138" t="str">
        <v/>
      </c>
      <c r="B138">
        <v>8</v>
      </c>
      <c r="C138">
        <v>0.03456</v>
      </c>
      <c r="D138" t="str">
        <v/>
      </c>
      <c r="E138">
        <v>0</v>
      </c>
      <c r="F138" t="str">
        <v/>
      </c>
      <c r="G138">
        <v>0</v>
      </c>
      <c r="H138" t="str">
        <v/>
      </c>
      <c r="I138">
        <v>0</v>
      </c>
      <c r="J138" t="str">
        <v/>
      </c>
      <c r="K138">
        <v>0</v>
      </c>
      <c r="L138" t="str">
        <v/>
      </c>
      <c r="M138">
        <v>0</v>
      </c>
      <c r="N138" t="str">
        <v/>
      </c>
      <c r="O138">
        <v>22</v>
      </c>
      <c r="P138" t="str">
        <v/>
      </c>
      <c r="Q138">
        <v>61.04</v>
      </c>
      <c r="R138" t="str">
        <v/>
      </c>
      <c r="S138" t="str">
        <v>engine template</v>
      </c>
    </row>
    <row r="139">
      <c r="A139" t="str">
        <v/>
      </c>
      <c r="B139">
        <v>9</v>
      </c>
      <c r="C139">
        <v>0.041472</v>
      </c>
      <c r="D139" t="str">
        <v/>
      </c>
      <c r="E139">
        <v>0</v>
      </c>
      <c r="F139" t="str">
        <v/>
      </c>
      <c r="G139">
        <v>0</v>
      </c>
      <c r="H139" t="str">
        <v/>
      </c>
      <c r="I139">
        <v>0</v>
      </c>
      <c r="J139" t="str">
        <v/>
      </c>
      <c r="K139">
        <v>0</v>
      </c>
      <c r="L139" t="str">
        <v/>
      </c>
      <c r="M139">
        <v>0</v>
      </c>
      <c r="N139" t="str">
        <v/>
      </c>
      <c r="O139">
        <v>28</v>
      </c>
      <c r="P139" t="str">
        <v/>
      </c>
      <c r="Q139">
        <v>76.29</v>
      </c>
      <c r="R139" t="str">
        <v/>
      </c>
      <c r="S139" t="str">
        <v>engine template</v>
      </c>
    </row>
    <row r="140">
      <c r="A140" t="str">
        <v/>
      </c>
      <c r="B140">
        <v>10</v>
      </c>
      <c r="C140">
        <v>0.165888</v>
      </c>
      <c r="D140" t="str">
        <v/>
      </c>
      <c r="E140">
        <v>0</v>
      </c>
      <c r="F140" t="str">
        <v/>
      </c>
      <c r="G140">
        <v>0</v>
      </c>
      <c r="H140" t="str">
        <v/>
      </c>
      <c r="I140">
        <v>0</v>
      </c>
      <c r="J140" t="str">
        <v/>
      </c>
      <c r="K140">
        <v>0</v>
      </c>
      <c r="L140" t="str">
        <v/>
      </c>
      <c r="M140">
        <v>0</v>
      </c>
      <c r="N140" t="str">
        <v/>
      </c>
      <c r="O140">
        <v>56</v>
      </c>
      <c r="P140" t="str">
        <v/>
      </c>
      <c r="Q140">
        <v>152.59</v>
      </c>
      <c r="R140" t="str">
        <v/>
      </c>
      <c r="S140" t="str">
        <v>engine template</v>
      </c>
    </row>
    <row r="141">
      <c r="A141" t="str">
        <v/>
      </c>
      <c r="B141">
        <v>11</v>
      </c>
      <c r="C141">
        <v>0.19906560000000004</v>
      </c>
      <c r="D141" t="str">
        <v/>
      </c>
      <c r="E141">
        <v>0</v>
      </c>
      <c r="F141" t="str">
        <v/>
      </c>
      <c r="G141">
        <v>0</v>
      </c>
      <c r="H141" t="str">
        <v/>
      </c>
      <c r="I141">
        <v>0</v>
      </c>
      <c r="J141" t="str">
        <v/>
      </c>
      <c r="K141">
        <v>0</v>
      </c>
      <c r="L141" t="str">
        <v/>
      </c>
      <c r="M141">
        <v>0</v>
      </c>
      <c r="N141" t="str">
        <v/>
      </c>
      <c r="O141">
        <v>59</v>
      </c>
      <c r="P141" t="str">
        <v/>
      </c>
      <c r="Q141">
        <v>183.11</v>
      </c>
      <c r="R141" t="str">
        <v/>
      </c>
      <c r="S141" t="str">
        <v>engine template</v>
      </c>
    </row>
    <row r="142">
      <c r="A142" t="str">
        <v/>
      </c>
      <c r="B142">
        <v>12</v>
      </c>
      <c r="C142">
        <v>0.23887872</v>
      </c>
      <c r="D142" t="str">
        <v/>
      </c>
      <c r="E142">
        <v>0</v>
      </c>
      <c r="F142" t="str">
        <v/>
      </c>
      <c r="G142">
        <v>0</v>
      </c>
      <c r="H142" t="str">
        <v/>
      </c>
      <c r="I142">
        <v>0</v>
      </c>
      <c r="J142" t="str">
        <v/>
      </c>
      <c r="K142">
        <v>0</v>
      </c>
      <c r="L142" t="str">
        <v/>
      </c>
      <c r="M142">
        <v>0</v>
      </c>
      <c r="N142" t="str">
        <v/>
      </c>
      <c r="O142">
        <v>62</v>
      </c>
      <c r="P142" t="str">
        <v/>
      </c>
      <c r="Q142">
        <v>219.73</v>
      </c>
      <c r="R142" t="str">
        <v/>
      </c>
      <c r="S142" t="str">
        <v>engine template</v>
      </c>
    </row>
    <row r="143">
      <c r="A143" t="str">
        <v/>
      </c>
      <c r="B143">
        <v>13</v>
      </c>
      <c r="C143">
        <v>0.286654464</v>
      </c>
      <c r="D143" t="str">
        <v/>
      </c>
      <c r="E143">
        <v>0</v>
      </c>
      <c r="F143" t="str">
        <v/>
      </c>
      <c r="G143">
        <v>0</v>
      </c>
      <c r="H143" t="str">
        <v/>
      </c>
      <c r="I143">
        <v>0</v>
      </c>
      <c r="J143" t="str">
        <v/>
      </c>
      <c r="K143">
        <v>0</v>
      </c>
      <c r="L143" t="str">
        <v/>
      </c>
      <c r="M143">
        <v>0</v>
      </c>
      <c r="N143" t="str">
        <v/>
      </c>
      <c r="O143">
        <v>66</v>
      </c>
      <c r="P143" t="str">
        <v/>
      </c>
      <c r="Q143">
        <v>263.67</v>
      </c>
      <c r="R143" t="str">
        <v/>
      </c>
      <c r="S143" t="str">
        <v>engine template</v>
      </c>
    </row>
    <row r="144">
      <c r="A144" t="str">
        <v/>
      </c>
      <c r="B144">
        <v>14</v>
      </c>
      <c r="C144">
        <v>0.3439853568</v>
      </c>
      <c r="D144" t="str">
        <v/>
      </c>
      <c r="E144">
        <v>0</v>
      </c>
      <c r="F144" t="str">
        <v/>
      </c>
      <c r="G144">
        <v>0</v>
      </c>
      <c r="H144" t="str">
        <v/>
      </c>
      <c r="I144">
        <v>0</v>
      </c>
      <c r="J144" t="str">
        <v/>
      </c>
      <c r="K144">
        <v>0</v>
      </c>
      <c r="L144" t="str">
        <v/>
      </c>
      <c r="M144">
        <v>0</v>
      </c>
      <c r="N144" t="str">
        <v/>
      </c>
      <c r="O144">
        <v>70</v>
      </c>
      <c r="P144" t="str">
        <v/>
      </c>
      <c r="Q144">
        <v>316.41</v>
      </c>
      <c r="R144" t="str">
        <v/>
      </c>
      <c r="S144" t="str">
        <v>engine template</v>
      </c>
    </row>
    <row r="145">
      <c r="A145" t="str">
        <v/>
      </c>
      <c r="B145">
        <v>15</v>
      </c>
      <c r="C145">
        <v>0.8599633919999999</v>
      </c>
      <c r="D145" t="str">
        <v/>
      </c>
      <c r="E145">
        <v>0</v>
      </c>
      <c r="F145" t="str">
        <v/>
      </c>
      <c r="G145">
        <v>0</v>
      </c>
      <c r="H145" t="str">
        <v/>
      </c>
      <c r="I145">
        <v>0</v>
      </c>
      <c r="J145" t="str">
        <v/>
      </c>
      <c r="K145">
        <v>0</v>
      </c>
      <c r="L145" t="str">
        <v/>
      </c>
      <c r="M145">
        <v>0</v>
      </c>
      <c r="N145" t="str">
        <v/>
      </c>
      <c r="O145">
        <v>140</v>
      </c>
      <c r="P145" t="str">
        <v/>
      </c>
      <c r="Q145">
        <v>632.81</v>
      </c>
      <c r="R145" t="str">
        <v/>
      </c>
      <c r="S145" t="str">
        <v>engine template</v>
      </c>
    </row>
    <row r="146">
      <c r="A146" t="str">
        <v/>
      </c>
      <c r="B146">
        <v>16</v>
      </c>
      <c r="C146">
        <v>1.0319560704</v>
      </c>
      <c r="D146" t="str">
        <v/>
      </c>
      <c r="E146">
        <v>0</v>
      </c>
      <c r="F146" t="str">
        <v/>
      </c>
      <c r="G146">
        <v>0</v>
      </c>
      <c r="H146" t="str">
        <v/>
      </c>
      <c r="I146">
        <v>0</v>
      </c>
      <c r="J146" t="str">
        <v/>
      </c>
      <c r="K146">
        <v>0</v>
      </c>
      <c r="L146" t="str">
        <v/>
      </c>
      <c r="M146">
        <v>0</v>
      </c>
      <c r="N146" t="str">
        <v/>
      </c>
      <c r="O146">
        <v>147</v>
      </c>
      <c r="P146" t="str">
        <v/>
      </c>
      <c r="Q146">
        <v>696.09</v>
      </c>
      <c r="R146" t="str">
        <v/>
      </c>
      <c r="S146" t="str">
        <v>engine template</v>
      </c>
    </row>
    <row r="147">
      <c r="A147" t="str">
        <v/>
      </c>
      <c r="B147">
        <v>17</v>
      </c>
      <c r="C147">
        <v>1.2383472844799999</v>
      </c>
      <c r="D147" t="str">
        <v/>
      </c>
      <c r="E147">
        <v>0</v>
      </c>
      <c r="F147" t="str">
        <v/>
      </c>
      <c r="G147">
        <v>0</v>
      </c>
      <c r="H147" t="str">
        <v/>
      </c>
      <c r="I147">
        <v>0</v>
      </c>
      <c r="J147" t="str">
        <v/>
      </c>
      <c r="K147">
        <v>0</v>
      </c>
      <c r="L147" t="str">
        <v/>
      </c>
      <c r="M147">
        <v>0</v>
      </c>
      <c r="N147" t="str">
        <v/>
      </c>
      <c r="O147">
        <v>155</v>
      </c>
      <c r="P147" t="str">
        <v/>
      </c>
      <c r="Q147">
        <v>765.7</v>
      </c>
      <c r="R147" t="str">
        <v/>
      </c>
      <c r="S147" t="str">
        <v>engine template</v>
      </c>
    </row>
    <row r="148">
      <c r="A148" t="str">
        <v/>
      </c>
      <c r="B148">
        <v>18</v>
      </c>
      <c r="C148">
        <v>1.4860167413759997</v>
      </c>
      <c r="D148" t="str">
        <v/>
      </c>
      <c r="E148">
        <v>0</v>
      </c>
      <c r="F148" t="str">
        <v/>
      </c>
      <c r="G148">
        <v>0</v>
      </c>
      <c r="H148" t="str">
        <v/>
      </c>
      <c r="I148">
        <v>0</v>
      </c>
      <c r="J148" t="str">
        <v/>
      </c>
      <c r="K148">
        <v>0</v>
      </c>
      <c r="L148" t="str">
        <v/>
      </c>
      <c r="M148">
        <v>0</v>
      </c>
      <c r="N148" t="str">
        <v/>
      </c>
      <c r="O148">
        <v>163</v>
      </c>
      <c r="P148" t="str">
        <v/>
      </c>
      <c r="Q148">
        <v>842.27</v>
      </c>
      <c r="R148" t="str">
        <v/>
      </c>
      <c r="S148" t="str">
        <v>engine template</v>
      </c>
    </row>
    <row r="149">
      <c r="A149" t="str">
        <v/>
      </c>
      <c r="B149">
        <v>19</v>
      </c>
      <c r="C149">
        <v>1.7832200896511996</v>
      </c>
      <c r="D149" t="str">
        <v/>
      </c>
      <c r="E149">
        <v>0</v>
      </c>
      <c r="F149" t="str">
        <v/>
      </c>
      <c r="G149">
        <v>0</v>
      </c>
      <c r="H149" t="str">
        <v/>
      </c>
      <c r="I149">
        <v>0</v>
      </c>
      <c r="J149" t="str">
        <v/>
      </c>
      <c r="K149">
        <v>0</v>
      </c>
      <c r="L149" t="str">
        <v/>
      </c>
      <c r="M149">
        <v>0</v>
      </c>
      <c r="N149" t="str">
        <v/>
      </c>
      <c r="O149">
        <v>172</v>
      </c>
      <c r="P149" t="str">
        <v/>
      </c>
      <c r="Q149">
        <v>926.5</v>
      </c>
      <c r="R149" t="str">
        <v/>
      </c>
      <c r="S149" t="str">
        <v>engine template</v>
      </c>
    </row>
    <row r="150">
      <c r="A150" t="str">
        <v/>
      </c>
      <c r="B150">
        <v>20</v>
      </c>
      <c r="C150">
        <v>3.566440179302399</v>
      </c>
      <c r="D150" t="str">
        <v/>
      </c>
      <c r="E150">
        <v>0</v>
      </c>
      <c r="F150" t="str">
        <v/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/>
      </c>
      <c r="M150">
        <v>0</v>
      </c>
      <c r="N150" t="str">
        <v/>
      </c>
      <c r="O150">
        <v>190</v>
      </c>
      <c r="P150" t="str">
        <v/>
      </c>
      <c r="Q150">
        <v>1019.15</v>
      </c>
      <c r="R150" t="str">
        <v/>
      </c>
      <c r="S150" t="str">
        <v>engine template</v>
      </c>
    </row>
    <row r="152">
      <c r="A152" t="str">
        <v>Office Expansion</v>
      </c>
      <c r="B152">
        <v>1</v>
      </c>
      <c r="C152">
        <v>0</v>
      </c>
      <c r="D152" t="str">
        <v/>
      </c>
      <c r="E152">
        <v>0</v>
      </c>
      <c r="F152" t="str">
        <v/>
      </c>
      <c r="G152">
        <v>0</v>
      </c>
      <c r="H152" t="str">
        <v/>
      </c>
      <c r="I152">
        <v>0</v>
      </c>
      <c r="J152" t="str">
        <v/>
      </c>
      <c r="K152">
        <v>0</v>
      </c>
      <c r="L152" t="str">
        <v/>
      </c>
      <c r="M152">
        <v>0</v>
      </c>
      <c r="N152" t="str">
        <v/>
      </c>
      <c r="O152">
        <v>0</v>
      </c>
      <c r="P152" t="str">
        <v/>
      </c>
      <c r="Q152">
        <v>0</v>
      </c>
      <c r="R152" t="str">
        <v/>
      </c>
      <c r="S152" t="str">
        <v>engine template</v>
      </c>
    </row>
    <row r="153">
      <c r="A153" t="str">
        <v/>
      </c>
      <c r="B153">
        <v>2</v>
      </c>
      <c r="C153">
        <v>0.001</v>
      </c>
      <c r="D153" t="str">
        <v/>
      </c>
      <c r="E153">
        <v>0</v>
      </c>
      <c r="F153" t="str">
        <v/>
      </c>
      <c r="G153">
        <v>0</v>
      </c>
      <c r="H153" t="str">
        <v/>
      </c>
      <c r="I153">
        <v>0</v>
      </c>
      <c r="J153" t="str">
        <v/>
      </c>
      <c r="K153">
        <v>0</v>
      </c>
      <c r="L153" t="str">
        <v/>
      </c>
      <c r="M153">
        <v>0</v>
      </c>
      <c r="N153" t="str">
        <v/>
      </c>
      <c r="O153">
        <v>0</v>
      </c>
      <c r="P153" t="str">
        <v/>
      </c>
      <c r="Q153">
        <v>2</v>
      </c>
      <c r="R153" t="str">
        <v/>
      </c>
      <c r="S153" t="str">
        <v>engine template</v>
      </c>
    </row>
    <row r="154">
      <c r="A154" t="str">
        <v/>
      </c>
      <c r="B154">
        <v>3</v>
      </c>
      <c r="C154">
        <v>0.0011</v>
      </c>
      <c r="D154" t="str">
        <v/>
      </c>
      <c r="E154">
        <v>0</v>
      </c>
      <c r="F154" t="str">
        <v/>
      </c>
      <c r="G154">
        <v>0</v>
      </c>
      <c r="H154" t="str">
        <v/>
      </c>
      <c r="I154">
        <v>0</v>
      </c>
      <c r="J154" t="str">
        <v/>
      </c>
      <c r="K154">
        <v>0</v>
      </c>
      <c r="L154" t="str">
        <v/>
      </c>
      <c r="M154">
        <v>0</v>
      </c>
      <c r="N154" t="str">
        <v/>
      </c>
      <c r="O154">
        <v>0</v>
      </c>
      <c r="P154" t="str">
        <v/>
      </c>
      <c r="Q154">
        <v>4</v>
      </c>
      <c r="R154" t="str">
        <v/>
      </c>
      <c r="S154" t="str">
        <v>engine template</v>
      </c>
    </row>
    <row r="155">
      <c r="A155" t="str">
        <v/>
      </c>
      <c r="B155">
        <v>4</v>
      </c>
      <c r="C155">
        <v>0.0012100000000000001</v>
      </c>
      <c r="D155" t="str">
        <v/>
      </c>
      <c r="E155">
        <v>0</v>
      </c>
      <c r="F155" t="str">
        <v/>
      </c>
      <c r="G155">
        <v>0</v>
      </c>
      <c r="H155" t="str">
        <v/>
      </c>
      <c r="I155">
        <v>0</v>
      </c>
      <c r="J155" t="str">
        <v/>
      </c>
      <c r="K155">
        <v>0</v>
      </c>
      <c r="L155" t="str">
        <v/>
      </c>
      <c r="M155">
        <v>0</v>
      </c>
      <c r="N155" t="str">
        <v/>
      </c>
      <c r="O155">
        <v>0</v>
      </c>
      <c r="P155" t="str">
        <v/>
      </c>
      <c r="Q155">
        <v>6</v>
      </c>
      <c r="R155" t="str">
        <v/>
      </c>
      <c r="S155" t="str">
        <v>engine template</v>
      </c>
    </row>
    <row r="156">
      <c r="A156" t="str">
        <v/>
      </c>
      <c r="B156">
        <v>5</v>
      </c>
      <c r="C156">
        <v>0.006050000000000001</v>
      </c>
      <c r="D156" t="str">
        <v/>
      </c>
      <c r="E156">
        <v>0</v>
      </c>
      <c r="F156" t="str">
        <v/>
      </c>
      <c r="G156">
        <v>0</v>
      </c>
      <c r="H156" t="str">
        <v/>
      </c>
      <c r="I156">
        <v>0</v>
      </c>
      <c r="J156" t="str">
        <v/>
      </c>
      <c r="K156">
        <v>0</v>
      </c>
      <c r="L156" t="str">
        <v/>
      </c>
      <c r="M156">
        <v>0</v>
      </c>
      <c r="N156" t="str">
        <v/>
      </c>
      <c r="O156">
        <v>0</v>
      </c>
      <c r="P156" t="str">
        <v/>
      </c>
      <c r="Q156">
        <v>8</v>
      </c>
      <c r="R156" t="str">
        <v/>
      </c>
      <c r="S156" t="str">
        <v>engine template</v>
      </c>
    </row>
    <row r="157">
      <c r="A157" t="str">
        <v/>
      </c>
      <c r="B157">
        <v>6</v>
      </c>
      <c r="C157">
        <v>0.00726</v>
      </c>
      <c r="D157" t="str">
        <v/>
      </c>
      <c r="E157">
        <v>0</v>
      </c>
      <c r="F157" t="str">
        <v/>
      </c>
      <c r="G157">
        <v>0</v>
      </c>
      <c r="H157" t="str">
        <v/>
      </c>
      <c r="I157">
        <v>0</v>
      </c>
      <c r="J157" t="str">
        <v/>
      </c>
      <c r="K157">
        <v>0</v>
      </c>
      <c r="L157" t="str">
        <v/>
      </c>
      <c r="M157">
        <v>0</v>
      </c>
      <c r="N157" t="str">
        <v/>
      </c>
      <c r="O157">
        <v>0</v>
      </c>
      <c r="P157" t="str">
        <v/>
      </c>
      <c r="Q157">
        <v>10</v>
      </c>
      <c r="R157" t="str">
        <v/>
      </c>
      <c r="S157" t="str">
        <v>engine template</v>
      </c>
    </row>
    <row r="158">
      <c r="A158" t="str">
        <v/>
      </c>
      <c r="B158">
        <v>7</v>
      </c>
      <c r="C158">
        <v>0.008712000000000001</v>
      </c>
      <c r="D158" t="str">
        <v/>
      </c>
      <c r="E158">
        <v>0</v>
      </c>
      <c r="F158" t="str">
        <v/>
      </c>
      <c r="G158">
        <v>0</v>
      </c>
      <c r="H158" t="str">
        <v/>
      </c>
      <c r="I158">
        <v>0</v>
      </c>
      <c r="J158" t="str">
        <v/>
      </c>
      <c r="K158">
        <v>0</v>
      </c>
      <c r="L158" t="str">
        <v/>
      </c>
      <c r="M158">
        <v>0</v>
      </c>
      <c r="N158" t="str">
        <v/>
      </c>
      <c r="O158">
        <v>0</v>
      </c>
      <c r="P158" t="str">
        <v/>
      </c>
      <c r="Q158">
        <v>12</v>
      </c>
      <c r="R158" t="str">
        <v/>
      </c>
      <c r="S158" t="str">
        <v>engine template</v>
      </c>
    </row>
    <row r="159">
      <c r="A159" t="str">
        <v/>
      </c>
      <c r="B159">
        <v>8</v>
      </c>
      <c r="C159">
        <v>0.0104544</v>
      </c>
      <c r="D159" t="str">
        <v/>
      </c>
      <c r="E159">
        <v>0</v>
      </c>
      <c r="F159" t="str">
        <v/>
      </c>
      <c r="G159">
        <v>0</v>
      </c>
      <c r="H159" t="str">
        <v/>
      </c>
      <c r="I159">
        <v>0</v>
      </c>
      <c r="J159" t="str">
        <v/>
      </c>
      <c r="K159">
        <v>0</v>
      </c>
      <c r="L159" t="str">
        <v/>
      </c>
      <c r="M159">
        <v>0</v>
      </c>
      <c r="N159" t="str">
        <v/>
      </c>
      <c r="O159">
        <v>0</v>
      </c>
      <c r="P159" t="str">
        <v/>
      </c>
      <c r="Q159">
        <v>14</v>
      </c>
      <c r="R159" t="str">
        <v/>
      </c>
      <c r="S159" t="str">
        <v>engine template</v>
      </c>
    </row>
    <row r="160">
      <c r="A160" t="str">
        <v/>
      </c>
      <c r="B160">
        <v>9</v>
      </c>
      <c r="C160">
        <v>0.01254528</v>
      </c>
      <c r="D160" t="str">
        <v/>
      </c>
      <c r="E160">
        <v>0</v>
      </c>
      <c r="F160" t="str">
        <v/>
      </c>
      <c r="G160">
        <v>0</v>
      </c>
      <c r="H160" t="str">
        <v/>
      </c>
      <c r="I160">
        <v>0</v>
      </c>
      <c r="J160" t="str">
        <v/>
      </c>
      <c r="K160">
        <v>0</v>
      </c>
      <c r="L160" t="str">
        <v/>
      </c>
      <c r="M160">
        <v>0</v>
      </c>
      <c r="N160" t="str">
        <v/>
      </c>
      <c r="O160">
        <v>0</v>
      </c>
      <c r="P160" t="str">
        <v/>
      </c>
      <c r="Q160">
        <v>16</v>
      </c>
      <c r="R160" t="str">
        <v/>
      </c>
      <c r="S160" t="str">
        <v>engine template</v>
      </c>
    </row>
    <row r="161">
      <c r="A161" t="str">
        <v/>
      </c>
      <c r="B161">
        <v>10</v>
      </c>
      <c r="C161">
        <v>0.05018112</v>
      </c>
      <c r="D161" t="str">
        <v/>
      </c>
      <c r="E161">
        <v>0</v>
      </c>
      <c r="F161" t="str">
        <v/>
      </c>
      <c r="G161">
        <v>0</v>
      </c>
      <c r="H161" t="str">
        <v/>
      </c>
      <c r="I161">
        <v>0</v>
      </c>
      <c r="J161" t="str">
        <v/>
      </c>
      <c r="K161">
        <v>0</v>
      </c>
      <c r="L161" t="str">
        <v/>
      </c>
      <c r="M161">
        <v>0</v>
      </c>
      <c r="N161" t="str">
        <v/>
      </c>
      <c r="O161">
        <v>0</v>
      </c>
      <c r="P161" t="str">
        <v/>
      </c>
      <c r="Q161">
        <v>18</v>
      </c>
      <c r="R161" t="str">
        <v/>
      </c>
      <c r="S161" t="str">
        <v>engine template</v>
      </c>
    </row>
    <row r="162">
      <c r="A162" t="str">
        <v/>
      </c>
      <c r="B162">
        <v>11</v>
      </c>
      <c r="C162">
        <v>0.060217344</v>
      </c>
      <c r="D162" t="str">
        <v/>
      </c>
      <c r="E162">
        <v>0</v>
      </c>
      <c r="F162" t="str">
        <v/>
      </c>
      <c r="G162">
        <v>0</v>
      </c>
      <c r="H162" t="str">
        <v/>
      </c>
      <c r="I162">
        <v>0</v>
      </c>
      <c r="J162" t="str">
        <v/>
      </c>
      <c r="K162">
        <v>0</v>
      </c>
      <c r="L162" t="str">
        <v/>
      </c>
      <c r="M162">
        <v>0</v>
      </c>
      <c r="N162" t="str">
        <v/>
      </c>
      <c r="O162">
        <v>0</v>
      </c>
      <c r="P162" t="str">
        <v/>
      </c>
      <c r="Q162">
        <v>20</v>
      </c>
      <c r="R162" t="str">
        <v/>
      </c>
      <c r="S162" t="str">
        <v>engine template</v>
      </c>
    </row>
    <row r="163">
      <c r="A163" t="str">
        <v/>
      </c>
      <c r="B163">
        <v>12</v>
      </c>
      <c r="C163">
        <v>0.07226081279999999</v>
      </c>
      <c r="D163" t="str">
        <v/>
      </c>
      <c r="E163">
        <v>0</v>
      </c>
      <c r="F163" t="str">
        <v/>
      </c>
      <c r="G163">
        <v>0</v>
      </c>
      <c r="H163" t="str">
        <v/>
      </c>
      <c r="I163">
        <v>0</v>
      </c>
      <c r="J163" t="str">
        <v/>
      </c>
      <c r="K163">
        <v>0</v>
      </c>
      <c r="L163" t="str">
        <v/>
      </c>
      <c r="M163">
        <v>0</v>
      </c>
      <c r="N163" t="str">
        <v/>
      </c>
      <c r="O163">
        <v>0</v>
      </c>
      <c r="P163" t="str">
        <v/>
      </c>
      <c r="Q163">
        <v>22</v>
      </c>
      <c r="R163" t="str">
        <v/>
      </c>
      <c r="S163" t="str">
        <v>engine template</v>
      </c>
    </row>
    <row r="164">
      <c r="A164" t="str">
        <v/>
      </c>
      <c r="B164">
        <v>13</v>
      </c>
      <c r="C164">
        <v>0.08671297535999999</v>
      </c>
      <c r="D164" t="str">
        <v/>
      </c>
      <c r="E164">
        <v>0</v>
      </c>
      <c r="F164" t="str">
        <v/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/>
      </c>
      <c r="M164">
        <v>0</v>
      </c>
      <c r="N164" t="str">
        <v/>
      </c>
      <c r="O164">
        <v>0</v>
      </c>
      <c r="P164" t="str">
        <v/>
      </c>
      <c r="Q164">
        <v>24</v>
      </c>
      <c r="R164" t="str">
        <v/>
      </c>
      <c r="S164" t="str">
        <v>engine template</v>
      </c>
    </row>
    <row r="165">
      <c r="A165" t="str">
        <v/>
      </c>
      <c r="B165">
        <v>14</v>
      </c>
      <c r="C165">
        <v>0.10405557043199998</v>
      </c>
      <c r="D165" t="str">
        <v/>
      </c>
      <c r="E165">
        <v>0</v>
      </c>
      <c r="F165" t="str">
        <v/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/>
      </c>
      <c r="M165">
        <v>0</v>
      </c>
      <c r="N165" t="str">
        <v/>
      </c>
      <c r="O165">
        <v>0</v>
      </c>
      <c r="P165" t="str">
        <v/>
      </c>
      <c r="Q165">
        <v>26</v>
      </c>
      <c r="R165" t="str">
        <v/>
      </c>
      <c r="S165" t="str">
        <v>engine template</v>
      </c>
    </row>
    <row r="166">
      <c r="A166" t="str">
        <v/>
      </c>
      <c r="B166">
        <v>15</v>
      </c>
      <c r="C166">
        <v>0.26013892607999994</v>
      </c>
      <c r="D166" t="str">
        <v/>
      </c>
      <c r="E166">
        <v>0</v>
      </c>
      <c r="F166" t="str">
        <v/>
      </c>
      <c r="G166">
        <v>0</v>
      </c>
      <c r="H166" t="str">
        <v/>
      </c>
      <c r="I166">
        <v>0</v>
      </c>
      <c r="J166" t="str">
        <v/>
      </c>
      <c r="K166">
        <v>0</v>
      </c>
      <c r="L166" t="str">
        <v/>
      </c>
      <c r="M166">
        <v>0</v>
      </c>
      <c r="N166" t="str">
        <v/>
      </c>
      <c r="O166">
        <v>0</v>
      </c>
      <c r="P166" t="str">
        <v/>
      </c>
      <c r="Q166">
        <v>28</v>
      </c>
      <c r="R166" t="str">
        <v/>
      </c>
      <c r="S166" t="str">
        <v>engine template</v>
      </c>
    </row>
    <row r="167">
      <c r="A167" t="str">
        <v/>
      </c>
      <c r="B167">
        <v>16</v>
      </c>
      <c r="C167">
        <v>0.31216671129599993</v>
      </c>
      <c r="D167" t="str">
        <v/>
      </c>
      <c r="E167">
        <v>0</v>
      </c>
      <c r="F167" t="str">
        <v/>
      </c>
      <c r="G167">
        <v>0</v>
      </c>
      <c r="H167" t="str">
        <v/>
      </c>
      <c r="I167">
        <v>0</v>
      </c>
      <c r="J167" t="str">
        <v/>
      </c>
      <c r="K167">
        <v>0</v>
      </c>
      <c r="L167" t="str">
        <v/>
      </c>
      <c r="M167">
        <v>0</v>
      </c>
      <c r="N167" t="str">
        <v/>
      </c>
      <c r="O167">
        <v>0</v>
      </c>
      <c r="P167" t="str">
        <v/>
      </c>
      <c r="Q167">
        <v>30</v>
      </c>
      <c r="R167" t="str">
        <v/>
      </c>
      <c r="S167" t="str">
        <v>engine template</v>
      </c>
    </row>
    <row r="168">
      <c r="A168" t="str">
        <v/>
      </c>
      <c r="B168">
        <v>17</v>
      </c>
      <c r="C168">
        <v>0.37460005355519993</v>
      </c>
      <c r="D168" t="str">
        <v/>
      </c>
      <c r="E168">
        <v>0</v>
      </c>
      <c r="F168" t="str">
        <v/>
      </c>
      <c r="G168">
        <v>0</v>
      </c>
      <c r="H168" t="str">
        <v/>
      </c>
      <c r="I168">
        <v>0</v>
      </c>
      <c r="J168" t="str">
        <v/>
      </c>
      <c r="K168">
        <v>0</v>
      </c>
      <c r="L168" t="str">
        <v/>
      </c>
      <c r="M168">
        <v>0</v>
      </c>
      <c r="N168" t="str">
        <v/>
      </c>
      <c r="O168">
        <v>0</v>
      </c>
      <c r="P168" t="str">
        <v/>
      </c>
      <c r="Q168">
        <v>32</v>
      </c>
      <c r="R168" t="str">
        <v/>
      </c>
      <c r="S168" t="str">
        <v>engine template</v>
      </c>
    </row>
    <row r="169">
      <c r="A169" t="str">
        <v/>
      </c>
      <c r="B169">
        <v>18</v>
      </c>
      <c r="C169">
        <v>0.44952006426623986</v>
      </c>
      <c r="D169" t="str">
        <v/>
      </c>
      <c r="E169">
        <v>0</v>
      </c>
      <c r="F169" t="str">
        <v/>
      </c>
      <c r="G169">
        <v>0</v>
      </c>
      <c r="H169" t="str">
        <v/>
      </c>
      <c r="I169">
        <v>0</v>
      </c>
      <c r="J169" t="str">
        <v/>
      </c>
      <c r="K169">
        <v>0</v>
      </c>
      <c r="L169" t="str">
        <v/>
      </c>
      <c r="M169">
        <v>0</v>
      </c>
      <c r="N169" t="str">
        <v/>
      </c>
      <c r="O169">
        <v>0</v>
      </c>
      <c r="P169" t="str">
        <v/>
      </c>
      <c r="Q169">
        <v>34</v>
      </c>
      <c r="R169" t="str">
        <v/>
      </c>
      <c r="S169" t="str">
        <v>engine template</v>
      </c>
    </row>
    <row r="170">
      <c r="A170" t="str">
        <v/>
      </c>
      <c r="B170">
        <v>19</v>
      </c>
      <c r="C170">
        <v>0.5394240771194879</v>
      </c>
      <c r="D170" t="str">
        <v/>
      </c>
      <c r="E170">
        <v>0</v>
      </c>
      <c r="F170" t="str">
        <v/>
      </c>
      <c r="G170">
        <v>0</v>
      </c>
      <c r="H170" t="str">
        <v/>
      </c>
      <c r="I170">
        <v>0</v>
      </c>
      <c r="J170" t="str">
        <v/>
      </c>
      <c r="K170">
        <v>0</v>
      </c>
      <c r="L170" t="str">
        <v/>
      </c>
      <c r="M170">
        <v>0</v>
      </c>
      <c r="N170" t="str">
        <v/>
      </c>
      <c r="O170">
        <v>0</v>
      </c>
      <c r="P170" t="str">
        <v/>
      </c>
      <c r="Q170">
        <v>36</v>
      </c>
      <c r="R170" t="str">
        <v/>
      </c>
      <c r="S170" t="str">
        <v>engine template</v>
      </c>
    </row>
    <row r="171">
      <c r="A171" t="str">
        <v/>
      </c>
      <c r="B171">
        <v>20</v>
      </c>
      <c r="C171">
        <v>1.0788481542389758</v>
      </c>
      <c r="D171" t="str">
        <v/>
      </c>
      <c r="E171">
        <v>0</v>
      </c>
      <c r="F171" t="str">
        <v/>
      </c>
      <c r="G171">
        <v>0</v>
      </c>
      <c r="H171" t="str">
        <v/>
      </c>
      <c r="I171">
        <v>0</v>
      </c>
      <c r="J171" t="str">
        <v/>
      </c>
      <c r="K171">
        <v>0</v>
      </c>
      <c r="L171" t="str">
        <v/>
      </c>
      <c r="M171">
        <v>0</v>
      </c>
      <c r="N171" t="str">
        <v/>
      </c>
      <c r="O171">
        <v>0</v>
      </c>
      <c r="P171" t="str">
        <v/>
      </c>
      <c r="Q171">
        <v>38</v>
      </c>
      <c r="R171" t="str">
        <v/>
      </c>
      <c r="S171" t="str">
        <v>engine template</v>
      </c>
    </row>
    <row r="173">
      <c r="A173" t="str">
        <v>Power Panel</v>
      </c>
      <c r="B173">
        <v>1</v>
      </c>
      <c r="C173">
        <v>0</v>
      </c>
      <c r="D173" t="str">
        <v/>
      </c>
      <c r="E173">
        <v>0</v>
      </c>
      <c r="F173" t="str">
        <v/>
      </c>
      <c r="G173">
        <v>0</v>
      </c>
      <c r="H173" t="str">
        <v/>
      </c>
      <c r="I173">
        <v>0</v>
      </c>
      <c r="J173" t="str">
        <v/>
      </c>
      <c r="K173">
        <v>0</v>
      </c>
      <c r="L173" t="str">
        <v/>
      </c>
      <c r="M173">
        <v>0</v>
      </c>
      <c r="N173" t="str">
        <v/>
      </c>
      <c r="O173">
        <v>0</v>
      </c>
      <c r="P173" t="str">
        <v/>
      </c>
      <c r="Q173">
        <v>0</v>
      </c>
      <c r="R173" t="str">
        <v/>
      </c>
      <c r="S173" t="str">
        <v>engine template</v>
      </c>
    </row>
    <row r="174">
      <c r="A174" t="str">
        <v/>
      </c>
      <c r="B174">
        <v>2</v>
      </c>
      <c r="C174">
        <v>0.001</v>
      </c>
      <c r="D174" t="str">
        <v/>
      </c>
      <c r="E174">
        <v>0</v>
      </c>
      <c r="F174" t="str">
        <v/>
      </c>
      <c r="G174">
        <v>0</v>
      </c>
      <c r="H174" t="str">
        <v/>
      </c>
      <c r="I174">
        <v>0</v>
      </c>
      <c r="J174" t="str">
        <v/>
      </c>
      <c r="K174">
        <v>0</v>
      </c>
      <c r="L174" t="str">
        <v/>
      </c>
      <c r="M174">
        <v>0</v>
      </c>
      <c r="N174" t="str">
        <v/>
      </c>
      <c r="O174">
        <v>0</v>
      </c>
      <c r="P174" t="str">
        <v/>
      </c>
      <c r="Q174">
        <v>5</v>
      </c>
      <c r="R174" t="str">
        <v/>
      </c>
      <c r="S174" t="str">
        <v>engine template</v>
      </c>
    </row>
    <row r="175">
      <c r="A175" t="str">
        <v/>
      </c>
      <c r="B175">
        <v>3</v>
      </c>
      <c r="C175">
        <v>0.002</v>
      </c>
      <c r="D175" t="str">
        <v/>
      </c>
      <c r="E175">
        <v>0</v>
      </c>
      <c r="F175" t="str">
        <v/>
      </c>
      <c r="G175">
        <v>0</v>
      </c>
      <c r="H175" t="str">
        <v/>
      </c>
      <c r="I175">
        <v>0</v>
      </c>
      <c r="J175" t="str">
        <v/>
      </c>
      <c r="K175">
        <v>0</v>
      </c>
      <c r="L175" t="str">
        <v/>
      </c>
      <c r="M175">
        <v>0</v>
      </c>
      <c r="N175" t="str">
        <v/>
      </c>
      <c r="O175">
        <v>0</v>
      </c>
      <c r="P175" t="str">
        <v/>
      </c>
      <c r="Q175">
        <v>10</v>
      </c>
      <c r="R175" t="str">
        <v/>
      </c>
      <c r="S175" t="str">
        <v>engine template</v>
      </c>
    </row>
    <row r="176">
      <c r="A176" t="str">
        <v/>
      </c>
      <c r="B176">
        <v>4</v>
      </c>
      <c r="C176">
        <v>0.004</v>
      </c>
      <c r="D176" t="str">
        <v/>
      </c>
      <c r="E176">
        <v>0</v>
      </c>
      <c r="F176" t="str">
        <v/>
      </c>
      <c r="G176">
        <v>0</v>
      </c>
      <c r="H176" t="str">
        <v/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15</v>
      </c>
      <c r="R176" t="str">
        <v/>
      </c>
      <c r="S176" t="str">
        <v>engine template</v>
      </c>
    </row>
    <row r="177">
      <c r="A177" t="str">
        <v/>
      </c>
      <c r="B177">
        <v>5</v>
      </c>
      <c r="C177">
        <v>0.02</v>
      </c>
      <c r="D177" t="str">
        <v/>
      </c>
      <c r="E177">
        <v>0</v>
      </c>
      <c r="F177" t="str">
        <v/>
      </c>
      <c r="G177">
        <v>0</v>
      </c>
      <c r="H177" t="str">
        <v/>
      </c>
      <c r="I177">
        <v>0</v>
      </c>
      <c r="J177" t="str">
        <v/>
      </c>
      <c r="K177">
        <v>0</v>
      </c>
      <c r="L177" t="str">
        <v/>
      </c>
      <c r="M177">
        <v>0</v>
      </c>
      <c r="N177" t="str">
        <v/>
      </c>
      <c r="O177">
        <v>0</v>
      </c>
      <c r="P177" t="str">
        <v/>
      </c>
      <c r="Q177">
        <v>20</v>
      </c>
      <c r="R177" t="str">
        <v/>
      </c>
      <c r="S177" t="str">
        <v>engine template</v>
      </c>
    </row>
    <row r="178">
      <c r="A178" t="str">
        <v/>
      </c>
      <c r="B178">
        <v>6</v>
      </c>
      <c r="C178">
        <v>0.024000000000000004</v>
      </c>
      <c r="D178" t="str">
        <v/>
      </c>
      <c r="E178">
        <v>0</v>
      </c>
      <c r="F178" t="str">
        <v/>
      </c>
      <c r="G178">
        <v>0</v>
      </c>
      <c r="H178" t="str">
        <v/>
      </c>
      <c r="I178">
        <v>0</v>
      </c>
      <c r="J178" t="str">
        <v/>
      </c>
      <c r="K178">
        <v>0</v>
      </c>
      <c r="L178" t="str">
        <v/>
      </c>
      <c r="M178">
        <v>0</v>
      </c>
      <c r="N178" t="str">
        <v/>
      </c>
      <c r="O178">
        <v>0</v>
      </c>
      <c r="P178" t="str">
        <v/>
      </c>
      <c r="Q178">
        <v>25</v>
      </c>
      <c r="R178" t="str">
        <v/>
      </c>
      <c r="S178" t="str">
        <v>engine template</v>
      </c>
    </row>
    <row r="179">
      <c r="A179" t="str">
        <v/>
      </c>
      <c r="B179">
        <v>7</v>
      </c>
      <c r="C179">
        <v>0.028800000000000003</v>
      </c>
      <c r="D179" t="str">
        <v/>
      </c>
      <c r="E179">
        <v>0</v>
      </c>
      <c r="F179" t="str">
        <v/>
      </c>
      <c r="G179">
        <v>0</v>
      </c>
      <c r="H179" t="str">
        <v/>
      </c>
      <c r="I179">
        <v>0</v>
      </c>
      <c r="J179" t="str">
        <v/>
      </c>
      <c r="K179">
        <v>0</v>
      </c>
      <c r="L179" t="str">
        <v/>
      </c>
      <c r="M179">
        <v>0</v>
      </c>
      <c r="N179" t="str">
        <v/>
      </c>
      <c r="O179">
        <v>0</v>
      </c>
      <c r="P179" t="str">
        <v/>
      </c>
      <c r="Q179">
        <v>30</v>
      </c>
      <c r="R179" t="str">
        <v/>
      </c>
      <c r="S179" t="str">
        <v>engine template</v>
      </c>
    </row>
    <row r="180">
      <c r="A180" t="str">
        <v/>
      </c>
      <c r="B180">
        <v>8</v>
      </c>
      <c r="C180">
        <v>0.03456</v>
      </c>
      <c r="D180" t="str">
        <v/>
      </c>
      <c r="E180">
        <v>0</v>
      </c>
      <c r="F180" t="str">
        <v/>
      </c>
      <c r="G180">
        <v>0</v>
      </c>
      <c r="H180" t="str">
        <v/>
      </c>
      <c r="I180">
        <v>0</v>
      </c>
      <c r="J180" t="str">
        <v/>
      </c>
      <c r="K180">
        <v>0</v>
      </c>
      <c r="L180" t="str">
        <v/>
      </c>
      <c r="M180">
        <v>0</v>
      </c>
      <c r="N180" t="str">
        <v/>
      </c>
      <c r="O180">
        <v>0</v>
      </c>
      <c r="P180" t="str">
        <v/>
      </c>
      <c r="Q180">
        <v>35</v>
      </c>
      <c r="R180" t="str">
        <v/>
      </c>
      <c r="S180" t="str">
        <v>engine template</v>
      </c>
    </row>
    <row r="181">
      <c r="A181" t="str">
        <v/>
      </c>
      <c r="B181">
        <v>9</v>
      </c>
      <c r="C181">
        <v>0.041472</v>
      </c>
      <c r="D181" t="str">
        <v/>
      </c>
      <c r="E181">
        <v>0</v>
      </c>
      <c r="F181" t="str">
        <v/>
      </c>
      <c r="G181">
        <v>0</v>
      </c>
      <c r="H181" t="str">
        <v/>
      </c>
      <c r="I181">
        <v>0</v>
      </c>
      <c r="J181" t="str">
        <v/>
      </c>
      <c r="K181">
        <v>0</v>
      </c>
      <c r="L181" t="str">
        <v/>
      </c>
      <c r="M181">
        <v>0</v>
      </c>
      <c r="N181" t="str">
        <v/>
      </c>
      <c r="O181">
        <v>0</v>
      </c>
      <c r="P181" t="str">
        <v/>
      </c>
      <c r="Q181">
        <v>40</v>
      </c>
      <c r="R181" t="str">
        <v/>
      </c>
      <c r="S181" t="str">
        <v>engine template</v>
      </c>
    </row>
    <row r="182">
      <c r="A182" t="str">
        <v/>
      </c>
      <c r="B182">
        <v>10</v>
      </c>
      <c r="C182">
        <v>0.165888</v>
      </c>
      <c r="D182" t="str">
        <v/>
      </c>
      <c r="E182">
        <v>0</v>
      </c>
      <c r="F182" t="str">
        <v/>
      </c>
      <c r="G182">
        <v>0</v>
      </c>
      <c r="H182" t="str">
        <v/>
      </c>
      <c r="I182">
        <v>0</v>
      </c>
      <c r="J182" t="str">
        <v/>
      </c>
      <c r="K182">
        <v>0</v>
      </c>
      <c r="L182" t="str">
        <v/>
      </c>
      <c r="M182">
        <v>0</v>
      </c>
      <c r="N182" t="str">
        <v/>
      </c>
      <c r="O182">
        <v>0</v>
      </c>
      <c r="P182" t="str">
        <v/>
      </c>
      <c r="Q182">
        <v>45</v>
      </c>
      <c r="R182" t="str">
        <v/>
      </c>
      <c r="S182" t="str">
        <v>engine template</v>
      </c>
    </row>
    <row r="183">
      <c r="A183" t="str">
        <v/>
      </c>
      <c r="B183">
        <v>11</v>
      </c>
      <c r="C183">
        <v>0.19906560000000004</v>
      </c>
      <c r="D183" t="str">
        <v/>
      </c>
      <c r="E183">
        <v>0</v>
      </c>
      <c r="F183" t="str">
        <v/>
      </c>
      <c r="G183">
        <v>0</v>
      </c>
      <c r="H183" t="str">
        <v/>
      </c>
      <c r="I183">
        <v>0</v>
      </c>
      <c r="J183" t="str">
        <v/>
      </c>
      <c r="K183">
        <v>0</v>
      </c>
      <c r="L183" t="str">
        <v/>
      </c>
      <c r="M183">
        <v>0</v>
      </c>
      <c r="N183" t="str">
        <v/>
      </c>
      <c r="O183">
        <v>0</v>
      </c>
      <c r="P183" t="str">
        <v/>
      </c>
      <c r="Q183">
        <v>50</v>
      </c>
      <c r="R183" t="str">
        <v/>
      </c>
      <c r="S183" t="str">
        <v>engine template</v>
      </c>
    </row>
    <row r="184">
      <c r="A184" t="str">
        <v/>
      </c>
      <c r="B184">
        <v>12</v>
      </c>
      <c r="C184">
        <v>0.23887872</v>
      </c>
      <c r="D184" t="str">
        <v/>
      </c>
      <c r="E184">
        <v>0</v>
      </c>
      <c r="F184" t="str">
        <v/>
      </c>
      <c r="G184">
        <v>0</v>
      </c>
      <c r="H184" t="str">
        <v/>
      </c>
      <c r="I184">
        <v>0</v>
      </c>
      <c r="J184" t="str">
        <v/>
      </c>
      <c r="K184">
        <v>0</v>
      </c>
      <c r="L184" t="str">
        <v/>
      </c>
      <c r="M184">
        <v>0</v>
      </c>
      <c r="N184" t="str">
        <v/>
      </c>
      <c r="O184">
        <v>0</v>
      </c>
      <c r="P184" t="str">
        <v/>
      </c>
      <c r="Q184">
        <v>55</v>
      </c>
      <c r="R184" t="str">
        <v/>
      </c>
      <c r="S184" t="str">
        <v>engine template</v>
      </c>
    </row>
    <row r="185">
      <c r="A185" t="str">
        <v/>
      </c>
      <c r="B185">
        <v>13</v>
      </c>
      <c r="C185">
        <v>0.286654464</v>
      </c>
      <c r="D185" t="str">
        <v/>
      </c>
      <c r="E185">
        <v>0</v>
      </c>
      <c r="F185" t="str">
        <v/>
      </c>
      <c r="G185">
        <v>0</v>
      </c>
      <c r="H185" t="str">
        <v/>
      </c>
      <c r="I185">
        <v>0</v>
      </c>
      <c r="J185" t="str">
        <v/>
      </c>
      <c r="K185">
        <v>0</v>
      </c>
      <c r="L185" t="str">
        <v/>
      </c>
      <c r="M185">
        <v>0</v>
      </c>
      <c r="N185" t="str">
        <v/>
      </c>
      <c r="O185">
        <v>0</v>
      </c>
      <c r="P185" t="str">
        <v/>
      </c>
      <c r="Q185">
        <v>60</v>
      </c>
      <c r="R185" t="str">
        <v/>
      </c>
      <c r="S185" t="str">
        <v>engine template</v>
      </c>
    </row>
    <row r="186">
      <c r="A186" t="str">
        <v/>
      </c>
      <c r="B186">
        <v>14</v>
      </c>
      <c r="C186">
        <v>0.3439853568</v>
      </c>
      <c r="D186" t="str">
        <v/>
      </c>
      <c r="E186">
        <v>0</v>
      </c>
      <c r="F186" t="str">
        <v/>
      </c>
      <c r="G186">
        <v>0</v>
      </c>
      <c r="H186" t="str">
        <v/>
      </c>
      <c r="I186">
        <v>0</v>
      </c>
      <c r="J186" t="str">
        <v/>
      </c>
      <c r="K186">
        <v>0</v>
      </c>
      <c r="L186" t="str">
        <v/>
      </c>
      <c r="M186">
        <v>0</v>
      </c>
      <c r="N186" t="str">
        <v/>
      </c>
      <c r="O186">
        <v>0</v>
      </c>
      <c r="P186" t="str">
        <v/>
      </c>
      <c r="Q186">
        <v>65</v>
      </c>
      <c r="R186" t="str">
        <v/>
      </c>
      <c r="S186" t="str">
        <v>engine template</v>
      </c>
    </row>
    <row r="187">
      <c r="A187" t="str">
        <v/>
      </c>
      <c r="B187">
        <v>15</v>
      </c>
      <c r="C187">
        <v>0.8599633919999999</v>
      </c>
      <c r="D187" t="str">
        <v/>
      </c>
      <c r="E187">
        <v>0</v>
      </c>
      <c r="F187" t="str">
        <v/>
      </c>
      <c r="G187">
        <v>0</v>
      </c>
      <c r="H187" t="str">
        <v/>
      </c>
      <c r="I187">
        <v>0</v>
      </c>
      <c r="J187" t="str">
        <v/>
      </c>
      <c r="K187">
        <v>0</v>
      </c>
      <c r="L187" t="str">
        <v/>
      </c>
      <c r="M187">
        <v>0</v>
      </c>
      <c r="N187" t="str">
        <v/>
      </c>
      <c r="O187">
        <v>0</v>
      </c>
      <c r="P187" t="str">
        <v/>
      </c>
      <c r="Q187">
        <v>70</v>
      </c>
      <c r="R187" t="str">
        <v/>
      </c>
      <c r="S187" t="str">
        <v>engine template</v>
      </c>
    </row>
    <row r="188">
      <c r="A188" t="str">
        <v/>
      </c>
      <c r="B188">
        <v>16</v>
      </c>
      <c r="C188">
        <v>1.0319560704</v>
      </c>
      <c r="D188" t="str">
        <v/>
      </c>
      <c r="E188">
        <v>0</v>
      </c>
      <c r="F188" t="str">
        <v/>
      </c>
      <c r="G188">
        <v>0</v>
      </c>
      <c r="H188" t="str">
        <v/>
      </c>
      <c r="I188">
        <v>0</v>
      </c>
      <c r="J188" t="str">
        <v/>
      </c>
      <c r="K188">
        <v>0</v>
      </c>
      <c r="L188" t="str">
        <v/>
      </c>
      <c r="M188">
        <v>0</v>
      </c>
      <c r="N188" t="str">
        <v/>
      </c>
      <c r="O188">
        <v>0</v>
      </c>
      <c r="P188" t="str">
        <v/>
      </c>
      <c r="Q188">
        <v>75</v>
      </c>
      <c r="R188" t="str">
        <v/>
      </c>
      <c r="S188" t="str">
        <v>engine template</v>
      </c>
    </row>
    <row r="189">
      <c r="A189" t="str">
        <v/>
      </c>
      <c r="B189">
        <v>17</v>
      </c>
      <c r="C189">
        <v>1.2383472844799999</v>
      </c>
      <c r="D189" t="str">
        <v/>
      </c>
      <c r="E189">
        <v>0</v>
      </c>
      <c r="F189" t="str">
        <v/>
      </c>
      <c r="G189">
        <v>0</v>
      </c>
      <c r="H189" t="str">
        <v/>
      </c>
      <c r="I189">
        <v>0</v>
      </c>
      <c r="J189" t="str">
        <v/>
      </c>
      <c r="K189">
        <v>0</v>
      </c>
      <c r="L189" t="str">
        <v/>
      </c>
      <c r="M189">
        <v>0</v>
      </c>
      <c r="N189" t="str">
        <v/>
      </c>
      <c r="O189">
        <v>0</v>
      </c>
      <c r="P189" t="str">
        <v/>
      </c>
      <c r="Q189">
        <v>80</v>
      </c>
      <c r="R189" t="str">
        <v/>
      </c>
      <c r="S189" t="str">
        <v>engine template</v>
      </c>
    </row>
    <row r="190">
      <c r="A190" t="str">
        <v/>
      </c>
      <c r="B190">
        <v>18</v>
      </c>
      <c r="C190">
        <v>1.4860167413759997</v>
      </c>
      <c r="D190" t="str">
        <v/>
      </c>
      <c r="E190">
        <v>0</v>
      </c>
      <c r="F190" t="str">
        <v/>
      </c>
      <c r="G190">
        <v>0</v>
      </c>
      <c r="H190" t="str">
        <v/>
      </c>
      <c r="I190">
        <v>0</v>
      </c>
      <c r="J190" t="str">
        <v/>
      </c>
      <c r="K190">
        <v>0</v>
      </c>
      <c r="L190" t="str">
        <v/>
      </c>
      <c r="M190">
        <v>0</v>
      </c>
      <c r="N190" t="str">
        <v/>
      </c>
      <c r="O190">
        <v>0</v>
      </c>
      <c r="P190" t="str">
        <v/>
      </c>
      <c r="Q190">
        <v>85</v>
      </c>
      <c r="R190" t="str">
        <v/>
      </c>
      <c r="S190" t="str">
        <v>engine template</v>
      </c>
    </row>
    <row r="191">
      <c r="A191" t="str">
        <v/>
      </c>
      <c r="B191">
        <v>19</v>
      </c>
      <c r="C191">
        <v>1.7832200896511996</v>
      </c>
      <c r="D191" t="str">
        <v/>
      </c>
      <c r="E191">
        <v>0</v>
      </c>
      <c r="F191" t="str">
        <v/>
      </c>
      <c r="G191">
        <v>0</v>
      </c>
      <c r="H191" t="str">
        <v/>
      </c>
      <c r="I191">
        <v>0</v>
      </c>
      <c r="J191" t="str">
        <v/>
      </c>
      <c r="K191">
        <v>0</v>
      </c>
      <c r="L191" t="str">
        <v/>
      </c>
      <c r="M191">
        <v>0</v>
      </c>
      <c r="N191" t="str">
        <v/>
      </c>
      <c r="O191">
        <v>0</v>
      </c>
      <c r="P191" t="str">
        <v/>
      </c>
      <c r="Q191">
        <v>90</v>
      </c>
      <c r="R191" t="str">
        <v/>
      </c>
      <c r="S191" t="str">
        <v>engine template</v>
      </c>
    </row>
    <row r="192">
      <c r="A192" t="str">
        <v/>
      </c>
      <c r="B192">
        <v>20</v>
      </c>
      <c r="C192">
        <v>3.566440179302399</v>
      </c>
      <c r="D192" t="str">
        <v/>
      </c>
      <c r="E192">
        <v>0</v>
      </c>
      <c r="F192" t="str">
        <v/>
      </c>
      <c r="G192">
        <v>0</v>
      </c>
      <c r="H192" t="str">
        <v/>
      </c>
      <c r="I192">
        <v>0</v>
      </c>
      <c r="J192" t="str">
        <v/>
      </c>
      <c r="K192">
        <v>0</v>
      </c>
      <c r="L192" t="str">
        <v/>
      </c>
      <c r="M192">
        <v>0</v>
      </c>
      <c r="N192" t="str">
        <v/>
      </c>
      <c r="O192">
        <v>0</v>
      </c>
      <c r="P192" t="str">
        <v/>
      </c>
      <c r="Q192">
        <v>95</v>
      </c>
      <c r="R192" t="str">
        <v/>
      </c>
      <c r="S192" t="str">
        <v>engine template</v>
      </c>
    </row>
    <row r="194">
      <c r="A194" t="str">
        <v>Recruitment Desk</v>
      </c>
      <c r="B194">
        <v>1</v>
      </c>
      <c r="C194">
        <v>0</v>
      </c>
      <c r="D194" t="str">
        <v/>
      </c>
      <c r="E194">
        <v>0</v>
      </c>
      <c r="F194" t="str">
        <v/>
      </c>
      <c r="G194">
        <v>0</v>
      </c>
      <c r="H194" t="str">
        <v/>
      </c>
      <c r="I194">
        <v>0</v>
      </c>
      <c r="J194" t="str">
        <v/>
      </c>
      <c r="K194">
        <v>0</v>
      </c>
      <c r="L194" t="str">
        <v/>
      </c>
      <c r="M194">
        <v>0</v>
      </c>
      <c r="N194" t="str">
        <v/>
      </c>
      <c r="O194">
        <v>0</v>
      </c>
      <c r="P194" t="str">
        <v/>
      </c>
      <c r="Q194">
        <v>0</v>
      </c>
      <c r="R194" t="str">
        <v/>
      </c>
      <c r="S194" t="str">
        <v>engine template</v>
      </c>
    </row>
    <row r="195">
      <c r="A195" t="str">
        <v/>
      </c>
      <c r="B195">
        <v>2</v>
      </c>
      <c r="C195">
        <v>0.001</v>
      </c>
      <c r="D195" t="str">
        <v/>
      </c>
      <c r="E195">
        <v>100</v>
      </c>
      <c r="F195" t="str">
        <v/>
      </c>
      <c r="G195">
        <v>50</v>
      </c>
      <c r="H195" t="str">
        <v/>
      </c>
      <c r="I195">
        <v>0</v>
      </c>
      <c r="J195" t="str">
        <v/>
      </c>
      <c r="K195">
        <v>0</v>
      </c>
      <c r="L195" t="str">
        <v/>
      </c>
      <c r="M195">
        <v>0</v>
      </c>
      <c r="N195" t="str">
        <v/>
      </c>
      <c r="O195">
        <v>0</v>
      </c>
      <c r="P195" t="str">
        <v/>
      </c>
      <c r="Q195">
        <v>0</v>
      </c>
      <c r="R195" t="str">
        <v/>
      </c>
      <c r="S195" t="str">
        <v>engine template</v>
      </c>
    </row>
    <row r="196">
      <c r="A196" t="str">
        <v/>
      </c>
      <c r="B196">
        <v>3</v>
      </c>
      <c r="C196">
        <v>0.002</v>
      </c>
      <c r="D196" t="str">
        <v/>
      </c>
      <c r="E196">
        <v>160</v>
      </c>
      <c r="F196" t="str">
        <v/>
      </c>
      <c r="G196">
        <v>80</v>
      </c>
      <c r="H196" t="str">
        <v/>
      </c>
      <c r="I196">
        <v>0</v>
      </c>
      <c r="J196" t="str">
        <v/>
      </c>
      <c r="K196">
        <v>0</v>
      </c>
      <c r="L196" t="str">
        <v/>
      </c>
      <c r="M196">
        <v>0</v>
      </c>
      <c r="N196" t="str">
        <v/>
      </c>
      <c r="O196">
        <v>0</v>
      </c>
      <c r="P196" t="str">
        <v/>
      </c>
      <c r="Q196">
        <v>0</v>
      </c>
      <c r="R196" t="str">
        <v/>
      </c>
      <c r="S196" t="str">
        <v>engine template</v>
      </c>
    </row>
    <row r="197">
      <c r="A197" t="str">
        <v/>
      </c>
      <c r="B197">
        <v>4</v>
      </c>
      <c r="C197">
        <v>0.004</v>
      </c>
      <c r="D197" t="str">
        <v/>
      </c>
      <c r="E197">
        <v>256</v>
      </c>
      <c r="F197" t="str">
        <v/>
      </c>
      <c r="G197">
        <v>128</v>
      </c>
      <c r="H197" t="str">
        <v/>
      </c>
      <c r="I197">
        <v>0</v>
      </c>
      <c r="J197" t="str">
        <v/>
      </c>
      <c r="K197">
        <v>0</v>
      </c>
      <c r="L197" t="str">
        <v/>
      </c>
      <c r="M197">
        <v>0</v>
      </c>
      <c r="N197" t="str">
        <v/>
      </c>
      <c r="O197">
        <v>0</v>
      </c>
      <c r="P197" t="str">
        <v/>
      </c>
      <c r="Q197">
        <v>0</v>
      </c>
      <c r="R197" t="str">
        <v/>
      </c>
      <c r="S197" t="str">
        <v>engine template</v>
      </c>
    </row>
    <row r="198">
      <c r="A198" t="str">
        <v/>
      </c>
      <c r="B198">
        <v>5</v>
      </c>
      <c r="C198">
        <v>0.02</v>
      </c>
      <c r="D198" t="str">
        <v/>
      </c>
      <c r="E198">
        <v>640</v>
      </c>
      <c r="F198" t="str">
        <v/>
      </c>
      <c r="G198">
        <v>320</v>
      </c>
      <c r="H198" t="str">
        <v/>
      </c>
      <c r="I198">
        <v>0</v>
      </c>
      <c r="J198" t="str">
        <v/>
      </c>
      <c r="K198">
        <v>0</v>
      </c>
      <c r="L198" t="str">
        <v/>
      </c>
      <c r="M198">
        <v>0</v>
      </c>
      <c r="N198" t="str">
        <v/>
      </c>
      <c r="O198">
        <v>0</v>
      </c>
      <c r="P198" t="str">
        <v/>
      </c>
      <c r="Q198">
        <v>0</v>
      </c>
      <c r="R198" t="str">
        <v/>
      </c>
      <c r="S198" t="str">
        <v>engine template</v>
      </c>
    </row>
    <row r="199">
      <c r="A199" t="str">
        <v/>
      </c>
      <c r="B199">
        <v>6</v>
      </c>
      <c r="C199">
        <v>0.024000000000000004</v>
      </c>
      <c r="D199" t="str">
        <v/>
      </c>
      <c r="E199">
        <v>870.3999999999999</v>
      </c>
      <c r="F199" t="str">
        <v/>
      </c>
      <c r="G199">
        <v>435.19999999999993</v>
      </c>
      <c r="H199" t="str">
        <v/>
      </c>
      <c r="I199">
        <v>0</v>
      </c>
      <c r="J199" t="str">
        <v/>
      </c>
      <c r="K199">
        <v>0</v>
      </c>
      <c r="L199" t="str">
        <v/>
      </c>
      <c r="M199">
        <v>0</v>
      </c>
      <c r="N199" t="str">
        <v/>
      </c>
      <c r="O199">
        <v>0</v>
      </c>
      <c r="P199" t="str">
        <v/>
      </c>
      <c r="Q199">
        <v>0</v>
      </c>
      <c r="R199" t="str">
        <v/>
      </c>
      <c r="S199" t="str">
        <v>engine template</v>
      </c>
    </row>
    <row r="200">
      <c r="A200" t="str">
        <v/>
      </c>
      <c r="B200">
        <v>7</v>
      </c>
      <c r="C200">
        <v>0.028800000000000003</v>
      </c>
      <c r="D200" t="str">
        <v/>
      </c>
      <c r="E200">
        <v>1183.7439999999997</v>
      </c>
      <c r="F200" t="str">
        <v/>
      </c>
      <c r="G200">
        <v>591.8719999999998</v>
      </c>
      <c r="H200" t="str">
        <v/>
      </c>
      <c r="I200">
        <v>0</v>
      </c>
      <c r="J200" t="str">
        <v/>
      </c>
      <c r="K200">
        <v>0</v>
      </c>
      <c r="L200" t="str">
        <v/>
      </c>
      <c r="M200">
        <v>0</v>
      </c>
      <c r="N200" t="str">
        <v/>
      </c>
      <c r="O200">
        <v>0</v>
      </c>
      <c r="P200" t="str">
        <v/>
      </c>
      <c r="Q200">
        <v>0</v>
      </c>
      <c r="R200" t="str">
        <v/>
      </c>
      <c r="S200" t="str">
        <v>engine template</v>
      </c>
    </row>
    <row r="201">
      <c r="A201" t="str">
        <v/>
      </c>
      <c r="B201">
        <v>8</v>
      </c>
      <c r="C201">
        <v>0.03456</v>
      </c>
      <c r="D201" t="str">
        <v/>
      </c>
      <c r="E201">
        <v>1609.8918399999993</v>
      </c>
      <c r="F201" t="str">
        <v/>
      </c>
      <c r="G201">
        <v>804.9459199999997</v>
      </c>
      <c r="H201" t="str">
        <v/>
      </c>
      <c r="I201">
        <v>0</v>
      </c>
      <c r="J201" t="str">
        <v/>
      </c>
      <c r="K201">
        <v>0</v>
      </c>
      <c r="L201" t="str">
        <v/>
      </c>
      <c r="M201">
        <v>0</v>
      </c>
      <c r="N201" t="str">
        <v/>
      </c>
      <c r="O201">
        <v>0</v>
      </c>
      <c r="P201" t="str">
        <v/>
      </c>
      <c r="Q201">
        <v>0</v>
      </c>
      <c r="R201" t="str">
        <v/>
      </c>
      <c r="S201" t="str">
        <v>engine template</v>
      </c>
    </row>
    <row r="202">
      <c r="A202" t="str">
        <v/>
      </c>
      <c r="B202">
        <v>9</v>
      </c>
      <c r="C202">
        <v>0.041472</v>
      </c>
      <c r="D202" t="str">
        <v/>
      </c>
      <c r="E202">
        <v>2189.452902399999</v>
      </c>
      <c r="F202" t="str">
        <v/>
      </c>
      <c r="G202">
        <v>1094.7264511999995</v>
      </c>
      <c r="H202" t="str">
        <v/>
      </c>
      <c r="I202">
        <v>0</v>
      </c>
      <c r="J202" t="str">
        <v/>
      </c>
      <c r="K202">
        <v>0</v>
      </c>
      <c r="L202" t="str">
        <v/>
      </c>
      <c r="M202">
        <v>0</v>
      </c>
      <c r="N202" t="str">
        <v/>
      </c>
      <c r="O202">
        <v>0</v>
      </c>
      <c r="P202" t="str">
        <v/>
      </c>
      <c r="Q202">
        <v>0</v>
      </c>
      <c r="R202" t="str">
        <v/>
      </c>
      <c r="S202" t="str">
        <v>engine template</v>
      </c>
    </row>
    <row r="203">
      <c r="A203" t="str">
        <v/>
      </c>
      <c r="B203">
        <v>10</v>
      </c>
      <c r="C203">
        <v>0.165888</v>
      </c>
      <c r="D203" t="str">
        <v/>
      </c>
      <c r="E203">
        <v>4816.7963852799985</v>
      </c>
      <c r="F203" t="str">
        <v/>
      </c>
      <c r="G203">
        <v>2408.3981926399993</v>
      </c>
      <c r="H203" t="str">
        <v/>
      </c>
      <c r="I203">
        <v>0</v>
      </c>
      <c r="J203" t="str">
        <v/>
      </c>
      <c r="K203">
        <v>0</v>
      </c>
      <c r="L203" t="str">
        <v/>
      </c>
      <c r="M203">
        <v>0</v>
      </c>
      <c r="N203" t="str">
        <v/>
      </c>
      <c r="O203">
        <v>0</v>
      </c>
      <c r="P203" t="str">
        <v/>
      </c>
      <c r="Q203">
        <v>0</v>
      </c>
      <c r="R203" t="str">
        <v/>
      </c>
      <c r="S203" t="str">
        <v>engine template</v>
      </c>
    </row>
  </sheetData>
  <ignoredErrors>
    <ignoredError numberStoredAsText="1" sqref="A1:S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Global Resources and Note</vt:lpstr>
      <vt:lpstr>Starting stat for HQ</vt:lpstr>
      <vt:lpstr>Office Sites Growth &amp; Options</vt:lpstr>
      <vt:lpstr>Structure</vt:lpstr>
      <vt:lpstr>Structure Cost and passive rate</vt:lpstr>
      <vt:lpstr>Research</vt:lpstr>
      <vt:lpstr>Research Cost</vt:lpstr>
      <vt:lpstr>Recruitment</vt:lpstr>
      <vt:lpstr>Branch &amp; Contracts</vt:lpstr>
      <vt:lpstr>Job hub</vt:lpstr>
      <vt:lpstr>Net Worth</vt:lpstr>
      <vt:lpstr>Phase A Placeholders (engine)</vt:lpstr>
      <vt:lpstr>Structure Build Times (engine)</vt:lpstr>
      <vt:lpstr>Structure Cost (engine copy)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2026-07-27T03:57:32Z</dcterms:modified>
  <cp:lastModifiedBy>Chris Cheng</cp:lastModifiedBy>
</cp:coreProperties>
</file>